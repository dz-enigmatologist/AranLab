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deeptabharadwaj/Documents/lab/aranLab/AranLab/BioSensorAnalysisSrcCode/EIS_Analysis/Austin_EIS/MegaExcel/Processed Chips for PCAI1ia/"/>
    </mc:Choice>
  </mc:AlternateContent>
  <xr:revisionPtr revIDLastSave="0" documentId="13_ncr:1_{BF3BFE0F-5888-4441-A6B8-66DD28976302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Sheet2" sheetId="2" r:id="rId1"/>
    <sheet name="Sheet1" sheetId="1" r:id="rId2"/>
  </sheets>
  <calcPr calcId="191029"/>
  <pivotCaches>
    <pivotCache cacheId="7" r:id="rId3"/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56" i="2"/>
  <c r="G57" i="2"/>
  <c r="H57" i="2"/>
  <c r="H56" i="2"/>
  <c r="H6" i="2"/>
  <c r="H34" i="2"/>
  <c r="H33" i="2"/>
  <c r="H32" i="2"/>
  <c r="H31" i="2"/>
  <c r="H26" i="2"/>
  <c r="H25" i="2"/>
  <c r="H24" i="2"/>
  <c r="H23" i="2"/>
  <c r="H18" i="2"/>
  <c r="H17" i="2"/>
  <c r="H16" i="2"/>
  <c r="H15" i="2"/>
  <c r="H10" i="2"/>
  <c r="H9" i="2"/>
  <c r="H8" i="2"/>
  <c r="H7" i="2"/>
  <c r="G59" i="2" l="1"/>
</calcChain>
</file>

<file path=xl/sharedStrings.xml><?xml version="1.0" encoding="utf-8"?>
<sst xmlns="http://schemas.openxmlformats.org/spreadsheetml/2006/main" count="1452" uniqueCount="67">
  <si>
    <t>Chip Name</t>
  </si>
  <si>
    <t>Type</t>
  </si>
  <si>
    <t>Concentration (MgCl)</t>
  </si>
  <si>
    <t>Protein</t>
  </si>
  <si>
    <t>Concentration</t>
  </si>
  <si>
    <t>delta Rct-a Slope</t>
  </si>
  <si>
    <t>R^2_a</t>
  </si>
  <si>
    <t>delta Rct-d Slope</t>
  </si>
  <si>
    <t>R^2_d</t>
  </si>
  <si>
    <t>delta Rct-a concentration minus zero concentration</t>
  </si>
  <si>
    <t>delta Rct-d concentration minus zero concentration</t>
  </si>
  <si>
    <t>delta Rct-a Exponential A</t>
  </si>
  <si>
    <t>delta Rct-a Exponential b</t>
  </si>
  <si>
    <t>R^2_exp_a</t>
  </si>
  <si>
    <t>delta Rct-d Exponential A</t>
  </si>
  <si>
    <t>delta Rct-d Exponential b</t>
  </si>
  <si>
    <t>R^2_exp_d</t>
  </si>
  <si>
    <t>Chip 53</t>
  </si>
  <si>
    <t>Cas_complex</t>
  </si>
  <si>
    <t>1</t>
  </si>
  <si>
    <t>SCDU</t>
  </si>
  <si>
    <t>0pM_asso</t>
  </si>
  <si>
    <t>0pM_disso</t>
  </si>
  <si>
    <t>100pM_asso</t>
  </si>
  <si>
    <t>100pM_disso</t>
  </si>
  <si>
    <t>1nM_asso</t>
  </si>
  <si>
    <t>1nM_disso</t>
  </si>
  <si>
    <t>10nM_asso</t>
  </si>
  <si>
    <t>10nM_disso</t>
  </si>
  <si>
    <t>100nM_asso</t>
  </si>
  <si>
    <t>100nM_disso</t>
  </si>
  <si>
    <t>Chip 45</t>
  </si>
  <si>
    <t>Cas_only</t>
  </si>
  <si>
    <t>5</t>
  </si>
  <si>
    <t>HU</t>
  </si>
  <si>
    <t>Chip 32</t>
  </si>
  <si>
    <t>Chip 48</t>
  </si>
  <si>
    <t>cas_complex</t>
  </si>
  <si>
    <t>Chip 33</t>
  </si>
  <si>
    <t>Chip 44</t>
  </si>
  <si>
    <t>Chip 52</t>
  </si>
  <si>
    <t>Chip 22</t>
  </si>
  <si>
    <t>0.5</t>
  </si>
  <si>
    <t>Chip 59</t>
  </si>
  <si>
    <t>Chip 55</t>
  </si>
  <si>
    <t>Chip 43</t>
  </si>
  <si>
    <t>Chip 54</t>
  </si>
  <si>
    <t>Chip 39</t>
  </si>
  <si>
    <t>Chip 23</t>
  </si>
  <si>
    <t>Chip 35</t>
  </si>
  <si>
    <t>Chip 36</t>
  </si>
  <si>
    <t>Chip 41</t>
  </si>
  <si>
    <t>Chip 57</t>
  </si>
  <si>
    <t>Chip 56</t>
  </si>
  <si>
    <t>Chip 40</t>
  </si>
  <si>
    <t>Chip 37</t>
  </si>
  <si>
    <t>Chip 21</t>
  </si>
  <si>
    <t>Chip 47</t>
  </si>
  <si>
    <t>Chip 26</t>
  </si>
  <si>
    <t>Chip 27</t>
  </si>
  <si>
    <t>Chip 46</t>
  </si>
  <si>
    <t>Column Labels</t>
  </si>
  <si>
    <t>Row Labels</t>
  </si>
  <si>
    <t>Grand Total</t>
  </si>
  <si>
    <t>Sum of HU</t>
  </si>
  <si>
    <t>Sum of SCDU</t>
  </si>
  <si>
    <t>Sum of delta Rct-a concentration minus zero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</si>
</sst>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data sheet for Deepta_aug20_no_firstVal.xlsx]Sheet2!PivotTable1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HU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Sheet2!$A$6:$A$135</c:f>
              <c:multiLvlStrCache>
                <c:ptCount val="119"/>
                <c:lvl>
                  <c:pt idx="0">
                    <c:v>Chip 23</c:v>
                  </c:pt>
                  <c:pt idx="1">
                    <c:v>Chip 26</c:v>
                  </c:pt>
                  <c:pt idx="2">
                    <c:v>Chip 27</c:v>
                  </c:pt>
                  <c:pt idx="3">
                    <c:v>Chip 32</c:v>
                  </c:pt>
                  <c:pt idx="4">
                    <c:v>Chip 43</c:v>
                  </c:pt>
                  <c:pt idx="5">
                    <c:v>Chip 44</c:v>
                  </c:pt>
                  <c:pt idx="6">
                    <c:v>Chip 45</c:v>
                  </c:pt>
                  <c:pt idx="7">
                    <c:v>Chip 48</c:v>
                  </c:pt>
                  <c:pt idx="8">
                    <c:v>Chip 52</c:v>
                  </c:pt>
                  <c:pt idx="9">
                    <c:v>Chip 54</c:v>
                  </c:pt>
                  <c:pt idx="10">
                    <c:v>Chip 56</c:v>
                  </c:pt>
                  <c:pt idx="11">
                    <c:v>Chip 57</c:v>
                  </c:pt>
                  <c:pt idx="12">
                    <c:v>Chip 23</c:v>
                  </c:pt>
                  <c:pt idx="13">
                    <c:v>Chip 26</c:v>
                  </c:pt>
                  <c:pt idx="14">
                    <c:v>Chip 27</c:v>
                  </c:pt>
                  <c:pt idx="15">
                    <c:v>Chip 32</c:v>
                  </c:pt>
                  <c:pt idx="16">
                    <c:v>Chip 43</c:v>
                  </c:pt>
                  <c:pt idx="17">
                    <c:v>Chip 44</c:v>
                  </c:pt>
                  <c:pt idx="18">
                    <c:v>Chip 45</c:v>
                  </c:pt>
                  <c:pt idx="19">
                    <c:v>Chip 48</c:v>
                  </c:pt>
                  <c:pt idx="20">
                    <c:v>Chip 52</c:v>
                  </c:pt>
                  <c:pt idx="21">
                    <c:v>Chip 54</c:v>
                  </c:pt>
                  <c:pt idx="22">
                    <c:v>Chip 56</c:v>
                  </c:pt>
                  <c:pt idx="23">
                    <c:v>Chip 57</c:v>
                  </c:pt>
                  <c:pt idx="24">
                    <c:v>Chip 23</c:v>
                  </c:pt>
                  <c:pt idx="25">
                    <c:v>Chip 26</c:v>
                  </c:pt>
                  <c:pt idx="26">
                    <c:v>Chip 27</c:v>
                  </c:pt>
                  <c:pt idx="27">
                    <c:v>Chip 32</c:v>
                  </c:pt>
                  <c:pt idx="28">
                    <c:v>Chip 43</c:v>
                  </c:pt>
                  <c:pt idx="29">
                    <c:v>Chip 44</c:v>
                  </c:pt>
                  <c:pt idx="30">
                    <c:v>Chip 45</c:v>
                  </c:pt>
                  <c:pt idx="31">
                    <c:v>Chip 48</c:v>
                  </c:pt>
                  <c:pt idx="32">
                    <c:v>Chip 52</c:v>
                  </c:pt>
                  <c:pt idx="33">
                    <c:v>Chip 54</c:v>
                  </c:pt>
                  <c:pt idx="34">
                    <c:v>Chip 56</c:v>
                  </c:pt>
                  <c:pt idx="35">
                    <c:v>Chip 57</c:v>
                  </c:pt>
                  <c:pt idx="36">
                    <c:v>Chip 23</c:v>
                  </c:pt>
                  <c:pt idx="37">
                    <c:v>Chip 26</c:v>
                  </c:pt>
                  <c:pt idx="38">
                    <c:v>Chip 27</c:v>
                  </c:pt>
                  <c:pt idx="39">
                    <c:v>Chip 32</c:v>
                  </c:pt>
                  <c:pt idx="40">
                    <c:v>Chip 43</c:v>
                  </c:pt>
                  <c:pt idx="41">
                    <c:v>Chip 44</c:v>
                  </c:pt>
                  <c:pt idx="42">
                    <c:v>Chip 48</c:v>
                  </c:pt>
                  <c:pt idx="43">
                    <c:v>Chip 52</c:v>
                  </c:pt>
                  <c:pt idx="44">
                    <c:v>Chip 54</c:v>
                  </c:pt>
                  <c:pt idx="45">
                    <c:v>Chip 56</c:v>
                  </c:pt>
                  <c:pt idx="46">
                    <c:v>Chip 57</c:v>
                  </c:pt>
                  <c:pt idx="47">
                    <c:v>Chip 23</c:v>
                  </c:pt>
                  <c:pt idx="48">
                    <c:v>Chip 26</c:v>
                  </c:pt>
                  <c:pt idx="49">
                    <c:v>Chip 27</c:v>
                  </c:pt>
                  <c:pt idx="50">
                    <c:v>Chip 32</c:v>
                  </c:pt>
                  <c:pt idx="51">
                    <c:v>Chip 43</c:v>
                  </c:pt>
                  <c:pt idx="52">
                    <c:v>Chip 44</c:v>
                  </c:pt>
                  <c:pt idx="53">
                    <c:v>Chip 45</c:v>
                  </c:pt>
                  <c:pt idx="54">
                    <c:v>Chip 48</c:v>
                  </c:pt>
                  <c:pt idx="55">
                    <c:v>Chip 52</c:v>
                  </c:pt>
                  <c:pt idx="56">
                    <c:v>Chip 54</c:v>
                  </c:pt>
                  <c:pt idx="57">
                    <c:v>Chip 56</c:v>
                  </c:pt>
                  <c:pt idx="58">
                    <c:v>Chip 57</c:v>
                  </c:pt>
                  <c:pt idx="59">
                    <c:v>Chip 23</c:v>
                  </c:pt>
                  <c:pt idx="60">
                    <c:v>Chip 26</c:v>
                  </c:pt>
                  <c:pt idx="61">
                    <c:v>Chip 27</c:v>
                  </c:pt>
                  <c:pt idx="62">
                    <c:v>Chip 32</c:v>
                  </c:pt>
                  <c:pt idx="63">
                    <c:v>Chip 43</c:v>
                  </c:pt>
                  <c:pt idx="64">
                    <c:v>Chip 44</c:v>
                  </c:pt>
                  <c:pt idx="65">
                    <c:v>Chip 45</c:v>
                  </c:pt>
                  <c:pt idx="66">
                    <c:v>Chip 48</c:v>
                  </c:pt>
                  <c:pt idx="67">
                    <c:v>Chip 52</c:v>
                  </c:pt>
                  <c:pt idx="68">
                    <c:v>Chip 54</c:v>
                  </c:pt>
                  <c:pt idx="69">
                    <c:v>Chip 56</c:v>
                  </c:pt>
                  <c:pt idx="70">
                    <c:v>Chip 57</c:v>
                  </c:pt>
                  <c:pt idx="71">
                    <c:v>Chip 23</c:v>
                  </c:pt>
                  <c:pt idx="72">
                    <c:v>Chip 26</c:v>
                  </c:pt>
                  <c:pt idx="73">
                    <c:v>Chip 27</c:v>
                  </c:pt>
                  <c:pt idx="74">
                    <c:v>Chip 32</c:v>
                  </c:pt>
                  <c:pt idx="75">
                    <c:v>Chip 43</c:v>
                  </c:pt>
                  <c:pt idx="76">
                    <c:v>Chip 44</c:v>
                  </c:pt>
                  <c:pt idx="77">
                    <c:v>Chip 45</c:v>
                  </c:pt>
                  <c:pt idx="78">
                    <c:v>Chip 48</c:v>
                  </c:pt>
                  <c:pt idx="79">
                    <c:v>Chip 52</c:v>
                  </c:pt>
                  <c:pt idx="80">
                    <c:v>Chip 54</c:v>
                  </c:pt>
                  <c:pt idx="81">
                    <c:v>Chip 56</c:v>
                  </c:pt>
                  <c:pt idx="82">
                    <c:v>Chip 57</c:v>
                  </c:pt>
                  <c:pt idx="83">
                    <c:v>Chip 23</c:v>
                  </c:pt>
                  <c:pt idx="84">
                    <c:v>Chip 26</c:v>
                  </c:pt>
                  <c:pt idx="85">
                    <c:v>Chip 27</c:v>
                  </c:pt>
                  <c:pt idx="86">
                    <c:v>Chip 32</c:v>
                  </c:pt>
                  <c:pt idx="87">
                    <c:v>Chip 43</c:v>
                  </c:pt>
                  <c:pt idx="88">
                    <c:v>Chip 44</c:v>
                  </c:pt>
                  <c:pt idx="89">
                    <c:v>Chip 45</c:v>
                  </c:pt>
                  <c:pt idx="90">
                    <c:v>Chip 48</c:v>
                  </c:pt>
                  <c:pt idx="91">
                    <c:v>Chip 52</c:v>
                  </c:pt>
                  <c:pt idx="92">
                    <c:v>Chip 54</c:v>
                  </c:pt>
                  <c:pt idx="93">
                    <c:v>Chip 56</c:v>
                  </c:pt>
                  <c:pt idx="94">
                    <c:v>Chip 57</c:v>
                  </c:pt>
                  <c:pt idx="95">
                    <c:v>Chip 23</c:v>
                  </c:pt>
                  <c:pt idx="96">
                    <c:v>Chip 26</c:v>
                  </c:pt>
                  <c:pt idx="97">
                    <c:v>Chip 27</c:v>
                  </c:pt>
                  <c:pt idx="98">
                    <c:v>Chip 32</c:v>
                  </c:pt>
                  <c:pt idx="99">
                    <c:v>Chip 43</c:v>
                  </c:pt>
                  <c:pt idx="100">
                    <c:v>Chip 44</c:v>
                  </c:pt>
                  <c:pt idx="101">
                    <c:v>Chip 45</c:v>
                  </c:pt>
                  <c:pt idx="102">
                    <c:v>Chip 48</c:v>
                  </c:pt>
                  <c:pt idx="103">
                    <c:v>Chip 52</c:v>
                  </c:pt>
                  <c:pt idx="104">
                    <c:v>Chip 54</c:v>
                  </c:pt>
                  <c:pt idx="105">
                    <c:v>Chip 56</c:v>
                  </c:pt>
                  <c:pt idx="106">
                    <c:v>Chip 57</c:v>
                  </c:pt>
                  <c:pt idx="107">
                    <c:v>Chip 23</c:v>
                  </c:pt>
                  <c:pt idx="108">
                    <c:v>Chip 26</c:v>
                  </c:pt>
                  <c:pt idx="109">
                    <c:v>Chip 27</c:v>
                  </c:pt>
                  <c:pt idx="110">
                    <c:v>Chip 32</c:v>
                  </c:pt>
                  <c:pt idx="111">
                    <c:v>Chip 43</c:v>
                  </c:pt>
                  <c:pt idx="112">
                    <c:v>Chip 44</c:v>
                  </c:pt>
                  <c:pt idx="113">
                    <c:v>Chip 45</c:v>
                  </c:pt>
                  <c:pt idx="114">
                    <c:v>Chip 48</c:v>
                  </c:pt>
                  <c:pt idx="115">
                    <c:v>Chip 52</c:v>
                  </c:pt>
                  <c:pt idx="116">
                    <c:v>Chip 54</c:v>
                  </c:pt>
                  <c:pt idx="117">
                    <c:v>Chip 56</c:v>
                  </c:pt>
                  <c:pt idx="118">
                    <c:v>Chip 57</c:v>
                  </c:pt>
                </c:lvl>
                <c:lvl>
                  <c:pt idx="0">
                    <c:v>0pM_asso</c:v>
                  </c:pt>
                  <c:pt idx="12">
                    <c:v>100pM_asso</c:v>
                  </c:pt>
                  <c:pt idx="24">
                    <c:v>1nM_asso</c:v>
                  </c:pt>
                  <c:pt idx="36">
                    <c:v>10nM_asso</c:v>
                  </c:pt>
                  <c:pt idx="47">
                    <c:v>100nM_asso</c:v>
                  </c:pt>
                  <c:pt idx="59">
                    <c:v>0pM_disso</c:v>
                  </c:pt>
                  <c:pt idx="71">
                    <c:v>100pM_disso</c:v>
                  </c:pt>
                  <c:pt idx="83">
                    <c:v>1nM_disso</c:v>
                  </c:pt>
                  <c:pt idx="95">
                    <c:v>10nM_disso</c:v>
                  </c:pt>
                  <c:pt idx="107">
                    <c:v>100nM_disso</c:v>
                  </c:pt>
                </c:lvl>
              </c:multiLvlStrCache>
            </c:multiLvlStrRef>
          </c:cat>
          <c:val>
            <c:numRef>
              <c:f>Sheet2!$B$6:$B$135</c:f>
              <c:numCache>
                <c:formatCode>General</c:formatCode>
                <c:ptCount val="11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0.48444444444444512</c:v>
                </c:pt>
                <c:pt idx="14">
                  <c:v>0.81139999999999568</c:v>
                </c:pt>
                <c:pt idx="15">
                  <c:v>0.43802222222222209</c:v>
                </c:pt>
                <c:pt idx="18">
                  <c:v>-0.95735555555556684</c:v>
                </c:pt>
                <c:pt idx="20">
                  <c:v>-1.5583333333333409</c:v>
                </c:pt>
                <c:pt idx="21">
                  <c:v>1.420566666666661</c:v>
                </c:pt>
                <c:pt idx="22">
                  <c:v>-1.1924000000000059</c:v>
                </c:pt>
                <c:pt idx="23">
                  <c:v>-0.20110000000000211</c:v>
                </c:pt>
                <c:pt idx="25">
                  <c:v>0.27411111111111358</c:v>
                </c:pt>
                <c:pt idx="26">
                  <c:v>0.66587777777777823</c:v>
                </c:pt>
                <c:pt idx="27">
                  <c:v>0.45271111111111217</c:v>
                </c:pt>
                <c:pt idx="30">
                  <c:v>-1.203633333333332</c:v>
                </c:pt>
                <c:pt idx="32">
                  <c:v>-0.69973333333333798</c:v>
                </c:pt>
                <c:pt idx="33">
                  <c:v>1.2526444444444409</c:v>
                </c:pt>
                <c:pt idx="34">
                  <c:v>-1.113455555555555</c:v>
                </c:pt>
                <c:pt idx="35">
                  <c:v>-0.10957777777777269</c:v>
                </c:pt>
                <c:pt idx="37">
                  <c:v>0.46201111111110921</c:v>
                </c:pt>
                <c:pt idx="38">
                  <c:v>0.79468888888888678</c:v>
                </c:pt>
                <c:pt idx="39">
                  <c:v>0.55022222222222172</c:v>
                </c:pt>
                <c:pt idx="43">
                  <c:v>-0.1164888888888926</c:v>
                </c:pt>
                <c:pt idx="44">
                  <c:v>1.5732444444444471</c:v>
                </c:pt>
                <c:pt idx="45">
                  <c:v>-0.79158888888888823</c:v>
                </c:pt>
                <c:pt idx="46">
                  <c:v>-0.13368888888889249</c:v>
                </c:pt>
                <c:pt idx="48">
                  <c:v>0.37563333333333682</c:v>
                </c:pt>
                <c:pt idx="49">
                  <c:v>0.94304444444444324</c:v>
                </c:pt>
                <c:pt idx="50">
                  <c:v>0.46909999999999391</c:v>
                </c:pt>
                <c:pt idx="53">
                  <c:v>-1.426574561403507</c:v>
                </c:pt>
                <c:pt idx="55">
                  <c:v>1.136666666666668</c:v>
                </c:pt>
                <c:pt idx="56">
                  <c:v>1.7119111111111069</c:v>
                </c:pt>
                <c:pt idx="57">
                  <c:v>-1.0207333333333339</c:v>
                </c:pt>
                <c:pt idx="58">
                  <c:v>0.11843333333333431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5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2">
                  <c:v>-7.2842631578947437E-2</c:v>
                </c:pt>
                <c:pt idx="73">
                  <c:v>9.6939999999999138E-2</c:v>
                </c:pt>
                <c:pt idx="74">
                  <c:v>2.571578947368414E-2</c:v>
                </c:pt>
                <c:pt idx="77">
                  <c:v>0.26425999999999877</c:v>
                </c:pt>
                <c:pt idx="79">
                  <c:v>2.1042105263156859E-2</c:v>
                </c:pt>
                <c:pt idx="80">
                  <c:v>5.2549473684210923E-2</c:v>
                </c:pt>
                <c:pt idx="81">
                  <c:v>-4.8039473684210243E-2</c:v>
                </c:pt>
                <c:pt idx="82">
                  <c:v>0.1013668421052643</c:v>
                </c:pt>
                <c:pt idx="84">
                  <c:v>-8.2377368421051145E-2</c:v>
                </c:pt>
                <c:pt idx="85">
                  <c:v>5.6452631578951529E-3</c:v>
                </c:pt>
                <c:pt idx="86">
                  <c:v>5.0317894736843227E-2</c:v>
                </c:pt>
                <c:pt idx="89">
                  <c:v>0.15468000000000059</c:v>
                </c:pt>
                <c:pt idx="91">
                  <c:v>-0.1473157894736867</c:v>
                </c:pt>
                <c:pt idx="92">
                  <c:v>-0.21066526315789449</c:v>
                </c:pt>
                <c:pt idx="93">
                  <c:v>-0.1564263157894743</c:v>
                </c:pt>
                <c:pt idx="94">
                  <c:v>0.14994999999999961</c:v>
                </c:pt>
                <c:pt idx="96">
                  <c:v>-0.1231247368421053</c:v>
                </c:pt>
                <c:pt idx="97">
                  <c:v>6.5165789473683233E-2</c:v>
                </c:pt>
                <c:pt idx="98">
                  <c:v>0.118241578947369</c:v>
                </c:pt>
                <c:pt idx="101">
                  <c:v>0.69548397660818173</c:v>
                </c:pt>
                <c:pt idx="103">
                  <c:v>1.24310526315794E-2</c:v>
                </c:pt>
                <c:pt idx="104">
                  <c:v>0.2245810526315781</c:v>
                </c:pt>
                <c:pt idx="105">
                  <c:v>-9.534999999999938E-2</c:v>
                </c:pt>
                <c:pt idx="106">
                  <c:v>0.16493736842105419</c:v>
                </c:pt>
                <c:pt idx="108">
                  <c:v>2.049736842105299E-2</c:v>
                </c:pt>
                <c:pt idx="109">
                  <c:v>0.1154000000000011</c:v>
                </c:pt>
                <c:pt idx="110">
                  <c:v>0.18876526315789621</c:v>
                </c:pt>
                <c:pt idx="113">
                  <c:v>0.69745502923976055</c:v>
                </c:pt>
                <c:pt idx="115">
                  <c:v>-0.22287631578947659</c:v>
                </c:pt>
                <c:pt idx="116">
                  <c:v>3.8085263157895399E-2</c:v>
                </c:pt>
                <c:pt idx="117">
                  <c:v>-5.5856315789473372E-2</c:v>
                </c:pt>
                <c:pt idx="118">
                  <c:v>0.31943631578947568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7-9843-99F2-D7A56F5EF34E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SCDU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Sheet2!$A$6:$A$135</c:f>
              <c:multiLvlStrCache>
                <c:ptCount val="119"/>
                <c:lvl>
                  <c:pt idx="0">
                    <c:v>Chip 23</c:v>
                  </c:pt>
                  <c:pt idx="1">
                    <c:v>Chip 26</c:v>
                  </c:pt>
                  <c:pt idx="2">
                    <c:v>Chip 27</c:v>
                  </c:pt>
                  <c:pt idx="3">
                    <c:v>Chip 32</c:v>
                  </c:pt>
                  <c:pt idx="4">
                    <c:v>Chip 43</c:v>
                  </c:pt>
                  <c:pt idx="5">
                    <c:v>Chip 44</c:v>
                  </c:pt>
                  <c:pt idx="6">
                    <c:v>Chip 45</c:v>
                  </c:pt>
                  <c:pt idx="7">
                    <c:v>Chip 48</c:v>
                  </c:pt>
                  <c:pt idx="8">
                    <c:v>Chip 52</c:v>
                  </c:pt>
                  <c:pt idx="9">
                    <c:v>Chip 54</c:v>
                  </c:pt>
                  <c:pt idx="10">
                    <c:v>Chip 56</c:v>
                  </c:pt>
                  <c:pt idx="11">
                    <c:v>Chip 57</c:v>
                  </c:pt>
                  <c:pt idx="12">
                    <c:v>Chip 23</c:v>
                  </c:pt>
                  <c:pt idx="13">
                    <c:v>Chip 26</c:v>
                  </c:pt>
                  <c:pt idx="14">
                    <c:v>Chip 27</c:v>
                  </c:pt>
                  <c:pt idx="15">
                    <c:v>Chip 32</c:v>
                  </c:pt>
                  <c:pt idx="16">
                    <c:v>Chip 43</c:v>
                  </c:pt>
                  <c:pt idx="17">
                    <c:v>Chip 44</c:v>
                  </c:pt>
                  <c:pt idx="18">
                    <c:v>Chip 45</c:v>
                  </c:pt>
                  <c:pt idx="19">
                    <c:v>Chip 48</c:v>
                  </c:pt>
                  <c:pt idx="20">
                    <c:v>Chip 52</c:v>
                  </c:pt>
                  <c:pt idx="21">
                    <c:v>Chip 54</c:v>
                  </c:pt>
                  <c:pt idx="22">
                    <c:v>Chip 56</c:v>
                  </c:pt>
                  <c:pt idx="23">
                    <c:v>Chip 57</c:v>
                  </c:pt>
                  <c:pt idx="24">
                    <c:v>Chip 23</c:v>
                  </c:pt>
                  <c:pt idx="25">
                    <c:v>Chip 26</c:v>
                  </c:pt>
                  <c:pt idx="26">
                    <c:v>Chip 27</c:v>
                  </c:pt>
                  <c:pt idx="27">
                    <c:v>Chip 32</c:v>
                  </c:pt>
                  <c:pt idx="28">
                    <c:v>Chip 43</c:v>
                  </c:pt>
                  <c:pt idx="29">
                    <c:v>Chip 44</c:v>
                  </c:pt>
                  <c:pt idx="30">
                    <c:v>Chip 45</c:v>
                  </c:pt>
                  <c:pt idx="31">
                    <c:v>Chip 48</c:v>
                  </c:pt>
                  <c:pt idx="32">
                    <c:v>Chip 52</c:v>
                  </c:pt>
                  <c:pt idx="33">
                    <c:v>Chip 54</c:v>
                  </c:pt>
                  <c:pt idx="34">
                    <c:v>Chip 56</c:v>
                  </c:pt>
                  <c:pt idx="35">
                    <c:v>Chip 57</c:v>
                  </c:pt>
                  <c:pt idx="36">
                    <c:v>Chip 23</c:v>
                  </c:pt>
                  <c:pt idx="37">
                    <c:v>Chip 26</c:v>
                  </c:pt>
                  <c:pt idx="38">
                    <c:v>Chip 27</c:v>
                  </c:pt>
                  <c:pt idx="39">
                    <c:v>Chip 32</c:v>
                  </c:pt>
                  <c:pt idx="40">
                    <c:v>Chip 43</c:v>
                  </c:pt>
                  <c:pt idx="41">
                    <c:v>Chip 44</c:v>
                  </c:pt>
                  <c:pt idx="42">
                    <c:v>Chip 48</c:v>
                  </c:pt>
                  <c:pt idx="43">
                    <c:v>Chip 52</c:v>
                  </c:pt>
                  <c:pt idx="44">
                    <c:v>Chip 54</c:v>
                  </c:pt>
                  <c:pt idx="45">
                    <c:v>Chip 56</c:v>
                  </c:pt>
                  <c:pt idx="46">
                    <c:v>Chip 57</c:v>
                  </c:pt>
                  <c:pt idx="47">
                    <c:v>Chip 23</c:v>
                  </c:pt>
                  <c:pt idx="48">
                    <c:v>Chip 26</c:v>
                  </c:pt>
                  <c:pt idx="49">
                    <c:v>Chip 27</c:v>
                  </c:pt>
                  <c:pt idx="50">
                    <c:v>Chip 32</c:v>
                  </c:pt>
                  <c:pt idx="51">
                    <c:v>Chip 43</c:v>
                  </c:pt>
                  <c:pt idx="52">
                    <c:v>Chip 44</c:v>
                  </c:pt>
                  <c:pt idx="53">
                    <c:v>Chip 45</c:v>
                  </c:pt>
                  <c:pt idx="54">
                    <c:v>Chip 48</c:v>
                  </c:pt>
                  <c:pt idx="55">
                    <c:v>Chip 52</c:v>
                  </c:pt>
                  <c:pt idx="56">
                    <c:v>Chip 54</c:v>
                  </c:pt>
                  <c:pt idx="57">
                    <c:v>Chip 56</c:v>
                  </c:pt>
                  <c:pt idx="58">
                    <c:v>Chip 57</c:v>
                  </c:pt>
                  <c:pt idx="59">
                    <c:v>Chip 23</c:v>
                  </c:pt>
                  <c:pt idx="60">
                    <c:v>Chip 26</c:v>
                  </c:pt>
                  <c:pt idx="61">
                    <c:v>Chip 27</c:v>
                  </c:pt>
                  <c:pt idx="62">
                    <c:v>Chip 32</c:v>
                  </c:pt>
                  <c:pt idx="63">
                    <c:v>Chip 43</c:v>
                  </c:pt>
                  <c:pt idx="64">
                    <c:v>Chip 44</c:v>
                  </c:pt>
                  <c:pt idx="65">
                    <c:v>Chip 45</c:v>
                  </c:pt>
                  <c:pt idx="66">
                    <c:v>Chip 48</c:v>
                  </c:pt>
                  <c:pt idx="67">
                    <c:v>Chip 52</c:v>
                  </c:pt>
                  <c:pt idx="68">
                    <c:v>Chip 54</c:v>
                  </c:pt>
                  <c:pt idx="69">
                    <c:v>Chip 56</c:v>
                  </c:pt>
                  <c:pt idx="70">
                    <c:v>Chip 57</c:v>
                  </c:pt>
                  <c:pt idx="71">
                    <c:v>Chip 23</c:v>
                  </c:pt>
                  <c:pt idx="72">
                    <c:v>Chip 26</c:v>
                  </c:pt>
                  <c:pt idx="73">
                    <c:v>Chip 27</c:v>
                  </c:pt>
                  <c:pt idx="74">
                    <c:v>Chip 32</c:v>
                  </c:pt>
                  <c:pt idx="75">
                    <c:v>Chip 43</c:v>
                  </c:pt>
                  <c:pt idx="76">
                    <c:v>Chip 44</c:v>
                  </c:pt>
                  <c:pt idx="77">
                    <c:v>Chip 45</c:v>
                  </c:pt>
                  <c:pt idx="78">
                    <c:v>Chip 48</c:v>
                  </c:pt>
                  <c:pt idx="79">
                    <c:v>Chip 52</c:v>
                  </c:pt>
                  <c:pt idx="80">
                    <c:v>Chip 54</c:v>
                  </c:pt>
                  <c:pt idx="81">
                    <c:v>Chip 56</c:v>
                  </c:pt>
                  <c:pt idx="82">
                    <c:v>Chip 57</c:v>
                  </c:pt>
                  <c:pt idx="83">
                    <c:v>Chip 23</c:v>
                  </c:pt>
                  <c:pt idx="84">
                    <c:v>Chip 26</c:v>
                  </c:pt>
                  <c:pt idx="85">
                    <c:v>Chip 27</c:v>
                  </c:pt>
                  <c:pt idx="86">
                    <c:v>Chip 32</c:v>
                  </c:pt>
                  <c:pt idx="87">
                    <c:v>Chip 43</c:v>
                  </c:pt>
                  <c:pt idx="88">
                    <c:v>Chip 44</c:v>
                  </c:pt>
                  <c:pt idx="89">
                    <c:v>Chip 45</c:v>
                  </c:pt>
                  <c:pt idx="90">
                    <c:v>Chip 48</c:v>
                  </c:pt>
                  <c:pt idx="91">
                    <c:v>Chip 52</c:v>
                  </c:pt>
                  <c:pt idx="92">
                    <c:v>Chip 54</c:v>
                  </c:pt>
                  <c:pt idx="93">
                    <c:v>Chip 56</c:v>
                  </c:pt>
                  <c:pt idx="94">
                    <c:v>Chip 57</c:v>
                  </c:pt>
                  <c:pt idx="95">
                    <c:v>Chip 23</c:v>
                  </c:pt>
                  <c:pt idx="96">
                    <c:v>Chip 26</c:v>
                  </c:pt>
                  <c:pt idx="97">
                    <c:v>Chip 27</c:v>
                  </c:pt>
                  <c:pt idx="98">
                    <c:v>Chip 32</c:v>
                  </c:pt>
                  <c:pt idx="99">
                    <c:v>Chip 43</c:v>
                  </c:pt>
                  <c:pt idx="100">
                    <c:v>Chip 44</c:v>
                  </c:pt>
                  <c:pt idx="101">
                    <c:v>Chip 45</c:v>
                  </c:pt>
                  <c:pt idx="102">
                    <c:v>Chip 48</c:v>
                  </c:pt>
                  <c:pt idx="103">
                    <c:v>Chip 52</c:v>
                  </c:pt>
                  <c:pt idx="104">
                    <c:v>Chip 54</c:v>
                  </c:pt>
                  <c:pt idx="105">
                    <c:v>Chip 56</c:v>
                  </c:pt>
                  <c:pt idx="106">
                    <c:v>Chip 57</c:v>
                  </c:pt>
                  <c:pt idx="107">
                    <c:v>Chip 23</c:v>
                  </c:pt>
                  <c:pt idx="108">
                    <c:v>Chip 26</c:v>
                  </c:pt>
                  <c:pt idx="109">
                    <c:v>Chip 27</c:v>
                  </c:pt>
                  <c:pt idx="110">
                    <c:v>Chip 32</c:v>
                  </c:pt>
                  <c:pt idx="111">
                    <c:v>Chip 43</c:v>
                  </c:pt>
                  <c:pt idx="112">
                    <c:v>Chip 44</c:v>
                  </c:pt>
                  <c:pt idx="113">
                    <c:v>Chip 45</c:v>
                  </c:pt>
                  <c:pt idx="114">
                    <c:v>Chip 48</c:v>
                  </c:pt>
                  <c:pt idx="115">
                    <c:v>Chip 52</c:v>
                  </c:pt>
                  <c:pt idx="116">
                    <c:v>Chip 54</c:v>
                  </c:pt>
                  <c:pt idx="117">
                    <c:v>Chip 56</c:v>
                  </c:pt>
                  <c:pt idx="118">
                    <c:v>Chip 57</c:v>
                  </c:pt>
                </c:lvl>
                <c:lvl>
                  <c:pt idx="0">
                    <c:v>0pM_asso</c:v>
                  </c:pt>
                  <c:pt idx="12">
                    <c:v>100pM_asso</c:v>
                  </c:pt>
                  <c:pt idx="24">
                    <c:v>1nM_asso</c:v>
                  </c:pt>
                  <c:pt idx="36">
                    <c:v>10nM_asso</c:v>
                  </c:pt>
                  <c:pt idx="47">
                    <c:v>100nM_asso</c:v>
                  </c:pt>
                  <c:pt idx="59">
                    <c:v>0pM_disso</c:v>
                  </c:pt>
                  <c:pt idx="71">
                    <c:v>100pM_disso</c:v>
                  </c:pt>
                  <c:pt idx="83">
                    <c:v>1nM_disso</c:v>
                  </c:pt>
                  <c:pt idx="95">
                    <c:v>10nM_disso</c:v>
                  </c:pt>
                  <c:pt idx="107">
                    <c:v>100nM_disso</c:v>
                  </c:pt>
                </c:lvl>
              </c:multiLvlStrCache>
            </c:multiLvlStrRef>
          </c:cat>
          <c:val>
            <c:numRef>
              <c:f>Sheet2!$C$6:$C$135</c:f>
              <c:numCache>
                <c:formatCode>General</c:formatCode>
                <c:ptCount val="119"/>
                <c:pt idx="0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12">
                  <c:v>0.30201111111110812</c:v>
                </c:pt>
                <c:pt idx="16">
                  <c:v>-1.453711111111111</c:v>
                </c:pt>
                <c:pt idx="17">
                  <c:v>0.62509999999999666</c:v>
                </c:pt>
                <c:pt idx="19">
                  <c:v>5.5999999999996268E-2</c:v>
                </c:pt>
                <c:pt idx="24">
                  <c:v>0.43797777777777558</c:v>
                </c:pt>
                <c:pt idx="28">
                  <c:v>-1.9048222222222211</c:v>
                </c:pt>
                <c:pt idx="29">
                  <c:v>0.77572222222221843</c:v>
                </c:pt>
                <c:pt idx="31">
                  <c:v>-0.36102222222221902</c:v>
                </c:pt>
                <c:pt idx="36">
                  <c:v>0.70955555555555194</c:v>
                </c:pt>
                <c:pt idx="40">
                  <c:v>-1.8607222222222211</c:v>
                </c:pt>
                <c:pt idx="41">
                  <c:v>0.56432222222222084</c:v>
                </c:pt>
                <c:pt idx="42">
                  <c:v>-2.8988888888893172E-2</c:v>
                </c:pt>
                <c:pt idx="47">
                  <c:v>0.68498888888889153</c:v>
                </c:pt>
                <c:pt idx="51">
                  <c:v>-0.95207777777777647</c:v>
                </c:pt>
                <c:pt idx="52">
                  <c:v>1.010422222222221</c:v>
                </c:pt>
                <c:pt idx="54">
                  <c:v>8.5488888888886505E-2</c:v>
                </c:pt>
                <c:pt idx="59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71">
                  <c:v>4.8657368421052727E-2</c:v>
                </c:pt>
                <c:pt idx="75">
                  <c:v>-7.8197368421053959E-2</c:v>
                </c:pt>
                <c:pt idx="76">
                  <c:v>0.18309947368421131</c:v>
                </c:pt>
                <c:pt idx="78">
                  <c:v>-1.1868421052629861E-3</c:v>
                </c:pt>
                <c:pt idx="83">
                  <c:v>0.21289736842105239</c:v>
                </c:pt>
                <c:pt idx="87">
                  <c:v>7.7884210526317776E-2</c:v>
                </c:pt>
                <c:pt idx="88">
                  <c:v>0.32118578947368492</c:v>
                </c:pt>
                <c:pt idx="90">
                  <c:v>6.4873157894736133E-2</c:v>
                </c:pt>
                <c:pt idx="95">
                  <c:v>0.1034831578947364</c:v>
                </c:pt>
                <c:pt idx="99">
                  <c:v>0.14954157894736839</c:v>
                </c:pt>
                <c:pt idx="100">
                  <c:v>0.14411263157894849</c:v>
                </c:pt>
                <c:pt idx="102">
                  <c:v>2.6281052631579319E-2</c:v>
                </c:pt>
                <c:pt idx="107">
                  <c:v>0.18414315789473609</c:v>
                </c:pt>
                <c:pt idx="111">
                  <c:v>3.2187894736842797E-2</c:v>
                </c:pt>
                <c:pt idx="112">
                  <c:v>0.29507578947368368</c:v>
                </c:pt>
                <c:pt idx="114">
                  <c:v>3.8824736842103968E-2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7-9843-99F2-D7A56F5E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84096"/>
        <c:axId val="158386368"/>
      </c:barChart>
      <c:catAx>
        <c:axId val="1583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6368"/>
        <c:crosses val="autoZero"/>
        <c:auto val="1"/>
        <c:lblAlgn val="ctr"/>
        <c:lblOffset val="100"/>
        <c:noMultiLvlLbl val="0"/>
      </c:catAx>
      <c:valAx>
        <c:axId val="1583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 data sheet for Deepta_aug20_no_firstVal.xlsx]Sheet2!PivotTable2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Sheet2!$K$26</c:f>
              <c:strCache>
                <c:ptCount val="1"/>
                <c:pt idx="0">
                  <c:v>Sum of HU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Sheet2!$K$27</c:f>
              <c:numCache>
                <c:formatCode>General</c:formatCode>
                <c:ptCount val="1"/>
                <c:pt idx="0">
                  <c:v>-73.368072982456155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A-6E41-9BD9-147BEBF5FC7D}"/>
            </c:ext>
          </c:extLst>
        </c:ser>
        <c:ser>
          <c:idx val="1"/>
          <c:order val="1"/>
          <c:tx>
            <c:strRef>
              <c:f>Sheet2!$L$26</c:f>
              <c:strCache>
                <c:ptCount val="1"/>
                <c:pt idx="0">
                  <c:v>Sum of SCDU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Sheet2!$K$27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Sheet2!$L$27</c:f>
              <c:numCache>
                <c:formatCode>General</c:formatCode>
                <c:ptCount val="1"/>
                <c:pt idx="0">
                  <c:v>-29.837883391812866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AA-6E41-9BD9-147BEBF5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439488"/>
        <c:axId val="446441488"/>
      </c:barChart>
      <c:catAx>
        <c:axId val="446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41488"/>
        <c:crosses val="autoZero"/>
        <c:auto val="1"/>
        <c:lblAlgn val="ctr"/>
        <c:lblOffset val="100"/>
        <c:noMultiLvlLbl val="0"/>
      </c:catAx>
      <c:valAx>
        <c:axId val="4464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1714500</xdr:colOff>
      <xdr:row>3</xdr:row>
      <xdr:rowOff>139700</xdr:rowOff>
    </xdr:from>
    <xdr:to>
      <xdr:col>21</xdr:col>
      <xdr:colOff>241300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D30B9-A2E2-F8FE-0A1C-45E075C80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8194</xdr:colOff>
      <xdr:row>24</xdr:row>
      <xdr:rowOff>11061</xdr:rowOff>
    </xdr:from>
    <xdr:to>
      <xdr:col>19</xdr:col>
      <xdr:colOff>483420</xdr:colOff>
      <xdr:row>38</xdr:row>
      <xdr:rowOff>173293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B32731-0710-0B1C-69FE-BD68C69FE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ta Bharadwaj" refreshedDate="45891.617504513888" createdVersion="8" refreshedVersion="8" minRefreshableVersion="3" recordCount="259" xr:uid="{F1E2DC6E-909A-6E4A-9FF1-59F3A058E821}">
  <cacheSource type="worksheet">
    <worksheetSource ref="A1:Q260" sheet="Sheet1"/>
  </cacheSource>
  <cacheFields count="17">
    <cacheField name="Chip Name" numFmtId="0">
      <sharedItems count="26">
        <s v="Chip 53"/>
        <s v="Chip 45"/>
        <s v="Chip 32"/>
        <s v="Chip 48"/>
        <s v="Chip 33"/>
        <s v="Chip 44"/>
        <s v="Chip 52"/>
        <s v="Chip 22"/>
        <s v="Chip 59"/>
        <s v="Chip 55"/>
        <s v="Chip 43"/>
        <s v="Chip 54"/>
        <s v="Chip 39"/>
        <s v="Chip 23"/>
        <s v="Chip 35"/>
        <s v="Chip 36"/>
        <s v="Chip 41"/>
        <s v="Chip 57"/>
        <s v="Chip 56"/>
        <s v="Chip 40"/>
        <s v="Chip 37"/>
        <s v="Chip 21"/>
        <s v="Chip 47"/>
        <s v="Chip 26"/>
        <s v="Chip 27"/>
        <s v="Chip 46"/>
      </sharedItems>
    </cacheField>
    <cacheField name="Type" numFmtId="0">
      <sharedItems/>
    </cacheField>
    <cacheField name="Concentration (MgCl)" numFmtId="0">
      <sharedItems count="3">
        <s v="1"/>
        <s v="5"/>
        <s v="0.5"/>
      </sharedItems>
    </cacheField>
    <cacheField name="Protein" numFmtId="0">
      <sharedItems count="2">
        <s v="SCDU"/>
        <s v="HU"/>
      </sharedItems>
    </cacheField>
    <cacheField name="Concentration" numFmtId="0">
      <sharedItems count="10">
        <s v="0pM_asso"/>
        <s v="0pM_disso"/>
        <s v="100pM_asso"/>
        <s v="100pM_disso"/>
        <s v="1nM_asso"/>
        <s v="1nM_disso"/>
        <s v="10nM_asso"/>
        <s v="10nM_disso"/>
        <s v="100nM_asso"/>
        <s v="100nM_disso"/>
      </sharedItems>
    </cacheField>
    <cacheField name="delta Rct-a Slope" numFmtId="0">
      <sharedItems containsSemiMixedTypes="0" containsString="0" containsNumber="1" minValue="-286.82217777777788" maxValue="384.00163333333319"/>
    </cacheField>
    <cacheField name="R^2_a" numFmtId="0">
      <sharedItems containsSemiMixedTypes="0" containsString="0" containsNumber="1" minValue="0.47081589455412542" maxValue="0.99796167133160618"/>
    </cacheField>
    <cacheField name="delta Rct-d Slope" numFmtId="0">
      <sharedItems containsSemiMixedTypes="0" containsString="0" containsNumber="1" minValue="-2098.0717910546032" maxValue="632.34998704750387"/>
    </cacheField>
    <cacheField name="R^2_d" numFmtId="0">
      <sharedItems containsSemiMixedTypes="0" containsString="0" containsNumber="1" minValue="3.2378486225503877E-8" maxValue="0.99559644443729689"/>
    </cacheField>
    <cacheField name="delta Rct-a concentration minus zero concentration" numFmtId="0">
      <sharedItems containsSemiMixedTypes="0" containsString="0" containsNumber="1" minValue="-252.2980000000002" maxValue="418.52581111111101"/>
    </cacheField>
    <cacheField name="delta Rct-d concentration minus zero concentration" numFmtId="0">
      <sharedItems containsSemiMixedTypes="0" containsString="0" containsNumber="1" minValue="-2284.703402459962" maxValue="740.15145096109666"/>
    </cacheField>
    <cacheField name="delta Rct-a Exponential A" numFmtId="0">
      <sharedItems containsSemiMixedTypes="0" containsString="0" containsNumber="1" minValue="76.998328306623037" maxValue="28751.407888577269"/>
    </cacheField>
    <cacheField name="delta Rct-a Exponential b" numFmtId="0">
      <sharedItems containsSemiMixedTypes="0" containsString="0" containsNumber="1" minValue="-3.8700411071772862E-2" maxValue="7.4061436621809418E-2"/>
    </cacheField>
    <cacheField name="R^2_exp_a" numFmtId="0">
      <sharedItems containsSemiMixedTypes="0" containsString="0" containsNumber="1" minValue="0.36950162156273492" maxValue="0.99870049434919161"/>
    </cacheField>
    <cacheField name="delta Rct-d Exponential A" numFmtId="0">
      <sharedItems containsSemiMixedTypes="0" containsString="0" containsNumber="1" minValue="1.7302513014101809E-9" maxValue="10805332.562677139"/>
    </cacheField>
    <cacheField name="delta Rct-d Exponential b" numFmtId="0">
      <sharedItems containsSemiMixedTypes="0" containsString="0" containsNumber="1" minValue="-2.1067482081178341" maxValue="1.9859144372812401"/>
    </cacheField>
    <cacheField name="R^2_exp_d" numFmtId="0">
      <sharedItems containsSemiMixedTypes="0" containsString="0" containsNumber="1" minValue="-0.97908791179002352" maxValue="0.997805336320276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ta Bharadwaj" refreshedDate="45891.635438888887" createdVersion="8" refreshedVersion="8" minRefreshableVersion="3" recordCount="32" xr:uid="{34789F72-183C-4B4F-9011-2375F348DC57}">
  <cacheSource type="worksheet">
    <worksheetSource ref="G6:H38" sheet="Sheet2"/>
  </cacheSource>
  <cacheFields count="2">
    <cacheField name="HU" numFmtId="0">
      <sharedItems containsSemiMixedTypes="0" containsString="0" containsNumber="1" minValue="-5.4101555555555558" maxValue="-1.163943684210526"/>
    </cacheField>
    <cacheField name="SCDU" numFmtId="0">
      <sharedItems containsString="0" containsBlank="1" containsNumber="1" minValue="-3.0735333333333319" maxValue="-1.0324284210526331" count="17">
        <n v="-2.444977777777777"/>
        <n v="-2.0001333333333342"/>
        <n v="-3.0735333333333319"/>
        <n v="-1.8526888888888891"/>
        <m/>
        <n v="-1.2499205263157891"/>
        <n v="-2.209487368421053"/>
        <n v="-1.706474210526316"/>
        <n v="-1.0712531578947371"/>
        <n v="-1.7599888888888851"/>
        <n v="-2.9522111111111111"/>
        <n v="-2.0631111111111111"/>
        <n v="-1.7672000000000021"/>
        <n v="-1.065777368421053"/>
        <n v="-2.1772994736842102"/>
        <n v="-1.411398421052632"/>
        <n v="-1.032428421052633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x v="0"/>
    <s v="Cas_complex"/>
    <x v="0"/>
    <x v="0"/>
    <x v="0"/>
    <n v="-24.174055555555562"/>
    <n v="0.98904995672501295"/>
    <n v="72.054222140693454"/>
    <n v="0.69406821879343217"/>
    <n v="0"/>
    <n v="0"/>
    <n v="2136.7287895317709"/>
    <n v="-1.2716677434357291E-2"/>
    <n v="0.99266098899816302"/>
    <n v="952.29409392924697"/>
    <n v="4.790732804351968E-2"/>
    <n v="0.6864823520108565"/>
  </r>
  <r>
    <x v="0"/>
    <s v="Cas_complex"/>
    <x v="0"/>
    <x v="0"/>
    <x v="1"/>
    <n v="-14.87170736842106"/>
    <n v="0.99191446705947028"/>
    <n v="592.093604483391"/>
    <n v="0.55404222010259696"/>
    <n v="0"/>
    <n v="0"/>
    <n v="2021.7103062762969"/>
    <n v="-8.4625945395461512E-3"/>
    <n v="0.99540743276647103"/>
    <n v="3205.5873628741078"/>
    <n v="5.5859644499965957E-2"/>
    <n v="0.46455320856418009"/>
  </r>
  <r>
    <x v="0"/>
    <s v="Cas_complex"/>
    <x v="0"/>
    <x v="0"/>
    <x v="2"/>
    <n v="-29.618133333333329"/>
    <n v="0.95501473508907031"/>
    <n v="40.560280344058206"/>
    <n v="0.41857999107847738"/>
    <n v="-5.444077777777764"/>
    <n v="-31.493941796635241"/>
    <n v="2299.0626130493119"/>
    <n v="-1.484221415964059E-2"/>
    <n v="0.96422400163805766"/>
    <n v="896.76873786737417"/>
    <n v="3.5386897895061553E-2"/>
    <n v="0.4551129207764063"/>
  </r>
  <r>
    <x v="0"/>
    <s v="Cas_complex"/>
    <x v="0"/>
    <x v="0"/>
    <x v="3"/>
    <n v="-15.57599157894737"/>
    <n v="0.9936370479351061"/>
    <n v="596.15351279111405"/>
    <n v="0.54089217601224115"/>
    <n v="-0.70428421052631407"/>
    <n v="4.0599083077230489"/>
    <n v="2025.766375751047"/>
    <n v="-8.8933815300002803E-3"/>
    <n v="0.99569189112621592"/>
    <n v="3344.8426195702182"/>
    <n v="5.4631932448910112E-2"/>
    <n v="0.44847908559619981"/>
  </r>
  <r>
    <x v="0"/>
    <s v="Cas_complex"/>
    <x v="0"/>
    <x v="0"/>
    <x v="4"/>
    <n v="-26.79664444444445"/>
    <n v="0.95159249656669187"/>
    <n v="48.35215438220056"/>
    <n v="0.50429285071491325"/>
    <n v="-2.6225888888888851"/>
    <n v="-23.702067758492891"/>
    <n v="2236.9983358809709"/>
    <n v="-1.363572448399805E-2"/>
    <n v="0.95938386280732657"/>
    <n v="930.19813451531218"/>
    <n v="3.6853291246337939E-2"/>
    <n v="0.50367938045711069"/>
  </r>
  <r>
    <x v="0"/>
    <s v="Cas_complex"/>
    <x v="0"/>
    <x v="0"/>
    <x v="5"/>
    <n v="-13.846527894736839"/>
    <n v="0.98544867492446442"/>
    <n v="632.34998704750387"/>
    <n v="0.65677029201735548"/>
    <n v="1.025179473684213"/>
    <n v="40.256382564112869"/>
    <n v="1990.8074195081419"/>
    <n v="-7.9508254157440589E-3"/>
    <n v="0.99065976783122123"/>
    <n v="611.29726337600141"/>
    <n v="0.1150233271779563"/>
    <n v="0.7524951684810538"/>
  </r>
  <r>
    <x v="0"/>
    <s v="Cas_complex"/>
    <x v="0"/>
    <x v="0"/>
    <x v="6"/>
    <n v="-25.098055555555572"/>
    <n v="0.94971488990894737"/>
    <n v="50.630198096125767"/>
    <n v="0.62527943740299508"/>
    <n v="-0.92400000000000659"/>
    <n v="-21.424024044567691"/>
    <n v="2174.5843226149868"/>
    <n v="-1.3063299538904061E-2"/>
    <n v="0.95686938886479478"/>
    <n v="869.15358547659889"/>
    <n v="4.0196700439803369E-2"/>
    <n v="0.62772134395116785"/>
  </r>
  <r>
    <x v="0"/>
    <s v="Cas_complex"/>
    <x v="0"/>
    <x v="0"/>
    <x v="7"/>
    <n v="-13.393556315789469"/>
    <n v="0.98253493402514769"/>
    <n v="278.01434576240098"/>
    <n v="0.26718922807682671"/>
    <n v="1.4781510526315831"/>
    <n v="-314.07925872099003"/>
    <n v="1977.358614401559"/>
    <n v="-7.713195369457501E-3"/>
    <n v="0.98763940259648542"/>
    <n v="105.768116432155"/>
    <n v="0.1551897441262835"/>
    <n v="0.39995284502993689"/>
  </r>
  <r>
    <x v="0"/>
    <s v="Cas_complex"/>
    <x v="0"/>
    <x v="0"/>
    <x v="8"/>
    <n v="-22.732711111111112"/>
    <n v="0.95639600615534293"/>
    <n v="-0.36982179674671672"/>
    <n v="5.935627335607041E-5"/>
    <n v="1.4413444444444501"/>
    <n v="-72.424043937440175"/>
    <n v="1691.1608244983511"/>
    <n v="-1.557080624167597E-2"/>
    <n v="0.96466483101788736"/>
    <n v="995.2318464633147"/>
    <n v="-3.8892166804752602E-4"/>
    <n v="6.1901359814542367E-5"/>
  </r>
  <r>
    <x v="0"/>
    <s v="Cas_complex"/>
    <x v="0"/>
    <x v="0"/>
    <x v="9"/>
    <n v="-12.71851894736842"/>
    <n v="0.98622152071103208"/>
    <n v="28.14188456830178"/>
    <n v="0.52208226298948568"/>
    <n v="2.153188421052636"/>
    <n v="-563.95171991508926"/>
    <n v="1935.9996866715221"/>
    <n v="-7.4375272174555147E-3"/>
    <n v="0.98992452416777676"/>
    <n v="1291.6750862780129"/>
    <n v="1.555896395822263E-2"/>
    <n v="0.48574221514556792"/>
  </r>
  <r>
    <x v="1"/>
    <s v="Cas_only"/>
    <x v="1"/>
    <x v="1"/>
    <x v="0"/>
    <n v="-1.90905555555555"/>
    <n v="0.8736944619958289"/>
    <n v="-4.02584576631721"/>
    <n v="3.4535319535515363E-2"/>
    <n v="0"/>
    <n v="0"/>
    <n v="107.2238012359884"/>
    <n v="-2.1841774844704051E-2"/>
    <n v="0.8837276689986644"/>
    <n v="279.31854311425832"/>
    <n v="-1.5661351772066422E-2"/>
    <n v="3.2646190184057788E-2"/>
  </r>
  <r>
    <x v="1"/>
    <s v="Cas_only"/>
    <x v="1"/>
    <x v="1"/>
    <x v="1"/>
    <n v="-1.3072921052631581"/>
    <n v="0.93963691029506691"/>
    <n v="-1.878106067459693"/>
    <n v="2.3446967299602609E-2"/>
    <n v="0"/>
    <n v="0"/>
    <n v="103.8738560485348"/>
    <n v="-1.6680379390910081E-2"/>
    <n v="0.95575896900267454"/>
    <n v="196.32248433864751"/>
    <n v="-1.2944863925719851E-2"/>
    <n v="2.5940075535253241E-2"/>
  </r>
  <r>
    <x v="1"/>
    <s v="Cas_only"/>
    <x v="1"/>
    <x v="1"/>
    <x v="2"/>
    <n v="-2.866411111111117"/>
    <n v="0.92143938029502703"/>
    <n v="-11.2752640175226"/>
    <n v="0.68392576459036714"/>
    <n v="-0.95735555555556684"/>
    <n v="-7.2494182512053937"/>
    <n v="138.72775602428339"/>
    <n v="-2.664327312097409E-2"/>
    <n v="0.93962094347185288"/>
    <n v="447.74827141842218"/>
    <n v="-3.4412838419541743E-2"/>
    <n v="0.69226286731725317"/>
  </r>
  <r>
    <x v="1"/>
    <s v="Cas_only"/>
    <x v="1"/>
    <x v="1"/>
    <x v="3"/>
    <n v="-1.043032105263159"/>
    <n v="0.900684114455791"/>
    <n v="-4.9880394990412169"/>
    <n v="0.16713737056437511"/>
    <n v="0.26425999999999877"/>
    <n v="-3.1099334315815228"/>
    <n v="98.518511697998392"/>
    <n v="-1.3286722993583159E-2"/>
    <n v="0.91403752140251504"/>
    <n v="281.02397044825818"/>
    <n v="-2.666650652829456E-2"/>
    <n v="0.16541868516044039"/>
  </r>
  <r>
    <x v="1"/>
    <s v="Cas_only"/>
    <x v="1"/>
    <x v="1"/>
    <x v="4"/>
    <n v="-3.112688888888882"/>
    <n v="0.93148907414076021"/>
    <n v="-16.104498660055238"/>
    <n v="0.6188977755345404"/>
    <n v="-1.203633333333332"/>
    <n v="-12.078652893738029"/>
    <n v="145.73420183298779"/>
    <n v="-2.7667758184518169E-2"/>
    <n v="0.94571913721023626"/>
    <n v="465.35205705020923"/>
    <n v="-4.7473591753075042E-2"/>
    <n v="0.56193206063108714"/>
  </r>
  <r>
    <x v="1"/>
    <s v="Cas_only"/>
    <x v="1"/>
    <x v="1"/>
    <x v="5"/>
    <n v="-1.152612105263157"/>
    <n v="0.93229126427694287"/>
    <n v="-5.7718003662075414"/>
    <n v="0.26120563139894848"/>
    <n v="0.15468000000000059"/>
    <n v="-3.8936942987478469"/>
    <n v="101.9438587725525"/>
    <n v="-1.455431797558626E-2"/>
    <n v="0.95143513480663922"/>
    <n v="316.94502221818891"/>
    <n v="-2.5031366022893669E-2"/>
    <n v="0.24222307676120169"/>
  </r>
  <r>
    <x v="1"/>
    <s v="Cas_only"/>
    <x v="1"/>
    <x v="1"/>
    <x v="7"/>
    <n v="-1.213571578947368"/>
    <n v="0.92701871954787984"/>
    <n v="4.2230487669369633E-2"/>
    <n v="1.107504371511414E-5"/>
    <n v="0.69548397660818173"/>
    <n v="4.0680762539865798"/>
    <n v="101.6644594368029"/>
    <n v="-1.5537615104748629E-2"/>
    <n v="0.94238358106714371"/>
    <n v="200.15569455203749"/>
    <n v="2.6623871013851269E-4"/>
    <n v="1.3976813477034609E-5"/>
  </r>
  <r>
    <x v="1"/>
    <s v="Cas_only"/>
    <x v="1"/>
    <x v="1"/>
    <x v="8"/>
    <n v="-2.7338666666666649"/>
    <n v="0.97300799357925627"/>
    <n v="-6.7294275223691447"/>
    <n v="8.5982365548102568E-2"/>
    <n v="-1.426574561403507"/>
    <n v="-4.851321454909451"/>
    <n v="126.2144545018199"/>
    <n v="-2.7877629895201601E-2"/>
    <n v="0.97983752979914684"/>
    <n v="316.78978822269221"/>
    <n v="-2.415126302752256E-2"/>
    <n v="7.8781205058102488E-2"/>
  </r>
  <r>
    <x v="1"/>
    <s v="Cas_only"/>
    <x v="1"/>
    <x v="1"/>
    <x v="9"/>
    <n v="-1.211600526315789"/>
    <n v="0.95036124427843827"/>
    <n v="-3.346274535984481"/>
    <n v="7.3397069444370744E-2"/>
    <n v="0.69745502923976055"/>
    <n v="0.67957123033272904"/>
    <n v="103.2640373475767"/>
    <n v="-1.518225997709062E-2"/>
    <n v="0.96563275296986495"/>
    <n v="272.55479101344139"/>
    <n v="-1.5808037847137989E-2"/>
    <n v="7.3441450579856626E-2"/>
  </r>
  <r>
    <x v="2"/>
    <s v="Cas_complex"/>
    <x v="1"/>
    <x v="1"/>
    <x v="0"/>
    <n v="-2.7214999999999989"/>
    <n v="0.97798255654171573"/>
    <n v="1.6705442825129851E-2"/>
    <n v="3.5314920299178709E-7"/>
    <n v="0"/>
    <n v="0"/>
    <n v="151.96650480543309"/>
    <n v="-2.1904459325206731E-2"/>
    <n v="0.98563275843162679"/>
    <n v="271.63104744327501"/>
    <n v="7.8866094120165587E-5"/>
    <n v="4.4386279629549108E-7"/>
  </r>
  <r>
    <x v="2"/>
    <s v="Cas_complex"/>
    <x v="1"/>
    <x v="1"/>
    <x v="1"/>
    <n v="-1.5140994736842119"/>
    <n v="0.96566508779209137"/>
    <n v="-2.0676623292322982"/>
    <n v="2.5635536388460171E-2"/>
    <n v="0"/>
    <n v="0"/>
    <n v="129.95424474637139"/>
    <n v="-1.502484922974183E-2"/>
    <n v="0.98039616127140738"/>
    <n v="327.00425822255141"/>
    <n v="-7.3251075721124034E-3"/>
    <n v="2.6372749361425859E-2"/>
  </r>
  <r>
    <x v="2"/>
    <s v="Cas_complex"/>
    <x v="1"/>
    <x v="1"/>
    <x v="2"/>
    <n v="-2.2834777777777768"/>
    <n v="0.95194481291844935"/>
    <n v="0.33555431043570821"/>
    <n v="6.0580524742570585E-4"/>
    <n v="0.43802222222222209"/>
    <n v="0.31884886761057829"/>
    <n v="108.4655702077187"/>
    <n v="-2.703760624187676E-2"/>
    <n v="0.96347198730331318"/>
    <n v="231.14451600307231"/>
    <n v="1.574158598257282E-3"/>
    <n v="6.6656217706440035E-4"/>
  </r>
  <r>
    <x v="2"/>
    <s v="Cas_complex"/>
    <x v="1"/>
    <x v="1"/>
    <x v="3"/>
    <n v="-1.488383684210528"/>
    <n v="0.94731497890517147"/>
    <n v="-1.6330084500958479"/>
    <n v="2.6477717980199818E-2"/>
    <n v="2.571578947368414E-2"/>
    <n v="0.43465387913644998"/>
    <n v="132.691807314019"/>
    <n v="-1.440174766716952E-2"/>
    <n v="0.96670009416568858"/>
    <n v="285.47626214053707"/>
    <n v="-6.4086046290347601E-3"/>
    <n v="2.6754969430206169E-2"/>
  </r>
  <r>
    <x v="2"/>
    <s v="Cas_complex"/>
    <x v="1"/>
    <x v="1"/>
    <x v="4"/>
    <n v="-2.2687888888888872"/>
    <n v="0.91297001414329126"/>
    <n v="5.1171058817149424"/>
    <n v="0.46111266660510769"/>
    <n v="0.45271111111111217"/>
    <n v="5.100400438889813"/>
    <n v="103.8554854179802"/>
    <n v="-2.8697062126953509E-2"/>
    <n v="0.93179556700773802"/>
    <n v="243.0594277386511"/>
    <n v="1.7457921461620118E-2"/>
    <n v="0.44860600605304302"/>
  </r>
  <r>
    <x v="2"/>
    <s v="Cas_complex"/>
    <x v="1"/>
    <x v="1"/>
    <x v="5"/>
    <n v="-1.463781578947368"/>
    <n v="0.95663168234521223"/>
    <n v="-3.91009339582024"/>
    <n v="0.1162701379466259"/>
    <n v="5.0317894736843227E-2"/>
    <n v="-1.842431066587942"/>
    <n v="130.27283291068039"/>
    <n v="-1.43365875159659E-2"/>
    <n v="0.97096754303285282"/>
    <n v="280.57148404915262"/>
    <n v="-2.026263890660723E-2"/>
    <n v="0.1234630802308084"/>
  </r>
  <r>
    <x v="2"/>
    <s v="Cas_complex"/>
    <x v="1"/>
    <x v="1"/>
    <x v="6"/>
    <n v="-2.1712777777777781"/>
    <n v="0.9349539694373028"/>
    <n v="0.82047813776161627"/>
    <n v="2.6376131132485488E-2"/>
    <n v="0.55022222222222172"/>
    <n v="0.8037726949364864"/>
    <n v="104.434848404134"/>
    <n v="-2.6866411728982721E-2"/>
    <n v="0.9535968953284637"/>
    <n v="245.5171654460427"/>
    <n v="3.4130858579254652E-3"/>
    <n v="2.778018360099432E-2"/>
  </r>
  <r>
    <x v="2"/>
    <s v="Cas_complex"/>
    <x v="1"/>
    <x v="1"/>
    <x v="7"/>
    <n v="-1.395857894736843"/>
    <n v="0.93858525328653919"/>
    <n v="-2.7764755953599169"/>
    <n v="8.4341262477161338E-2"/>
    <n v="0.118241578947369"/>
    <n v="-0.70881326612761919"/>
    <n v="127.39679935912829"/>
    <n v="-1.397690647767747E-2"/>
    <n v="0.95781868455762942"/>
    <n v="299.32316240867249"/>
    <n v="-1.076634854481149E-2"/>
    <n v="8.2344691057536168E-2"/>
  </r>
  <r>
    <x v="2"/>
    <s v="Cas_complex"/>
    <x v="1"/>
    <x v="1"/>
    <x v="8"/>
    <n v="-2.252400000000006"/>
    <n v="0.94279516192390544"/>
    <n v="-9.2654923132574236"/>
    <n v="0.21215790154241951"/>
    <n v="0.46909999999999391"/>
    <n v="-9.282197756082553"/>
    <n v="95.808159878778937"/>
    <n v="-3.1326751239754577E-2"/>
    <n v="0.95439778532951502"/>
    <n v="363.04057475718821"/>
    <n v="-3.1449965843066828E-2"/>
    <n v="0.19857547076845791"/>
  </r>
  <r>
    <x v="2"/>
    <s v="Cas_complex"/>
    <x v="1"/>
    <x v="1"/>
    <x v="9"/>
    <n v="-1.3253342105263159"/>
    <n v="0.95814496653514103"/>
    <n v="-1.5732736784888861"/>
    <n v="2.6092986654521869E-2"/>
    <n v="0.18876526315789621"/>
    <n v="0.49438865074341187"/>
    <n v="123.22525925522589"/>
    <n v="-1.356171369166684E-2"/>
    <n v="0.97274888364157952"/>
    <n v="257.59925536888949"/>
    <n v="-6.792080637313163E-3"/>
    <n v="2.601799452539522E-2"/>
  </r>
  <r>
    <x v="3"/>
    <s v="Cas_complex"/>
    <x v="1"/>
    <x v="0"/>
    <x v="0"/>
    <n v="-1.8526888888888891"/>
    <n v="0.96052981799928661"/>
    <n v="-4.1443840664292582"/>
    <n v="0.42314273541126762"/>
    <n v="0"/>
    <n v="0"/>
    <n v="98.852494080346261"/>
    <n v="-2.3080756179637001E-2"/>
    <n v="0.96483490676307027"/>
    <n v="340.09168107731591"/>
    <n v="-1.421349678463589E-2"/>
    <n v="0.4349483073440038"/>
  </r>
  <r>
    <x v="3"/>
    <s v="Cas_complex"/>
    <x v="1"/>
    <x v="0"/>
    <x v="1"/>
    <n v="-1.0712531578947371"/>
    <n v="0.95030778067078092"/>
    <n v="-4.2457688658689534"/>
    <n v="0.15969273401345141"/>
    <n v="0"/>
    <n v="0"/>
    <n v="91.302153685042754"/>
    <n v="-1.519310980127269E-2"/>
    <n v="0.96611080324270893"/>
    <n v="279.85377747607652"/>
    <n v="-2.3330512926061611E-2"/>
    <n v="0.17021890791510341"/>
  </r>
  <r>
    <x v="3"/>
    <s v="Cas_complex"/>
    <x v="1"/>
    <x v="0"/>
    <x v="2"/>
    <n v="-1.796688888888893"/>
    <n v="0.92226532794152494"/>
    <n v="-1.33557738195093"/>
    <n v="1.9754285241461611E-2"/>
    <n v="5.5999999999996268E-2"/>
    <n v="2.8088066844783279"/>
    <n v="88.56413797551663"/>
    <n v="-2.5981546166281649E-2"/>
    <n v="0.93940207141093079"/>
    <n v="278.2202749484083"/>
    <n v="-5.5644818900183373E-3"/>
    <n v="2.178063994572688E-2"/>
  </r>
  <r>
    <x v="3"/>
    <s v="Cas_complex"/>
    <x v="1"/>
    <x v="0"/>
    <x v="3"/>
    <n v="-1.0724400000000001"/>
    <n v="0.96326843184462985"/>
    <n v="-1.4286569243028799"/>
    <n v="1.613447620920461E-2"/>
    <n v="-1.1868421052629861E-3"/>
    <n v="2.8171119415660728"/>
    <n v="90.948207259499299"/>
    <n v="-1.5279267878837981E-2"/>
    <n v="0.97863503355427051"/>
    <n v="199.2209169021522"/>
    <n v="-9.0086320359975842E-3"/>
    <n v="1.750178846236039E-2"/>
  </r>
  <r>
    <x v="3"/>
    <s v="Cas_complex"/>
    <x v="1"/>
    <x v="0"/>
    <x v="4"/>
    <n v="-2.2137111111111079"/>
    <n v="0.93288242951640521"/>
    <n v="-3.3216189980425881"/>
    <n v="8.0107994996810872E-3"/>
    <n v="-0.36102222222221902"/>
    <n v="0.82276506838667007"/>
    <n v="94.792835976734864"/>
    <n v="-3.1251215044499292E-2"/>
    <n v="0.94891070351859808"/>
    <n v="224.43172787006341"/>
    <n v="-1.427076758337891E-2"/>
    <n v="6.8223202442688757E-3"/>
  </r>
  <r>
    <x v="3"/>
    <s v="Cas_complex"/>
    <x v="1"/>
    <x v="0"/>
    <x v="5"/>
    <n v="-1.0063800000000009"/>
    <n v="0.92794894660422234"/>
    <n v="-7.5938982196547098"/>
    <n v="0.26272963730120352"/>
    <n v="6.4873157894736133E-2"/>
    <n v="-3.3481293537857559"/>
    <n v="90.513755583313412"/>
    <n v="-1.4256534623975621E-2"/>
    <n v="0.94772075616904683"/>
    <n v="328.05890519807201"/>
    <n v="-3.8296457668179851E-2"/>
    <n v="0.2442670198399999"/>
  </r>
  <r>
    <x v="3"/>
    <s v="Cas_complex"/>
    <x v="1"/>
    <x v="0"/>
    <x v="6"/>
    <n v="-1.881677777777782"/>
    <n v="0.93754130220916188"/>
    <n v="-7.0022032849379956"/>
    <n v="0.1047830036140075"/>
    <n v="-2.8988888888893172E-2"/>
    <n v="-2.8578192185087379"/>
    <n v="87.496141853042758"/>
    <n v="-2.7902203349474752E-2"/>
    <n v="0.95154889670996556"/>
    <n v="295.10110450375942"/>
    <n v="-3.9974924272596232E-2"/>
    <n v="0.12506367492052259"/>
  </r>
  <r>
    <x v="3"/>
    <s v="Cas_complex"/>
    <x v="1"/>
    <x v="0"/>
    <x v="7"/>
    <n v="-1.044972105263158"/>
    <n v="0.93756874262353629"/>
    <n v="-2.0245073136332739"/>
    <n v="3.2490237844967518E-2"/>
    <n v="2.6281052631579319E-2"/>
    <n v="2.22126155223568"/>
    <n v="90.993043357584071"/>
    <n v="-1.483580901907307E-2"/>
    <n v="0.95607529013999926"/>
    <n v="234.9454707789109"/>
    <n v="-1.008581828530688E-2"/>
    <n v="3.238071427390643E-2"/>
  </r>
  <r>
    <x v="3"/>
    <s v="Cas_complex"/>
    <x v="1"/>
    <x v="0"/>
    <x v="8"/>
    <n v="-1.7672000000000021"/>
    <n v="0.90664482632036481"/>
    <n v="-5.4216215517156927"/>
    <n v="6.3311406419524929E-2"/>
    <n v="8.5488888888886505E-2"/>
    <n v="-1.277237485286435"/>
    <n v="78.300678492600269"/>
    <n v="-3.0267694844225309E-2"/>
    <n v="0.93202186520386543"/>
    <n v="234.2964291556338"/>
    <n v="-3.5734387588979961E-2"/>
    <n v="7.1559686009332046E-2"/>
  </r>
  <r>
    <x v="3"/>
    <s v="Cas_complex"/>
    <x v="1"/>
    <x v="0"/>
    <x v="9"/>
    <n v="-1.0324284210526331"/>
    <n v="0.95776333436826699"/>
    <n v="-6.0589693636417161"/>
    <n v="0.23601490135914829"/>
    <n v="3.8824736842103968E-2"/>
    <n v="-1.8132004977727629"/>
    <n v="89.376315179699532"/>
    <n v="-1.4891059897429349E-2"/>
    <n v="0.97387525575554534"/>
    <n v="284.95042750752691"/>
    <n v="-2.7224971421203292E-2"/>
    <n v="0.1979476167287435"/>
  </r>
  <r>
    <x v="4"/>
    <s v="Cas_only"/>
    <x v="0"/>
    <x v="1"/>
    <x v="0"/>
    <n v="-16.82545555555556"/>
    <n v="0.98952342164872176"/>
    <n v="-7.7822816297128119"/>
    <n v="2.267274578537715E-2"/>
    <n v="0"/>
    <n v="0"/>
    <n v="1639.5061427515179"/>
    <n v="-1.13908524265254E-2"/>
    <n v="0.99223313519931622"/>
    <n v="798.20728691043223"/>
    <n v="-9.7643884761486281E-3"/>
    <n v="2.080560788810315E-2"/>
  </r>
  <r>
    <x v="4"/>
    <s v="Cas_only"/>
    <x v="0"/>
    <x v="1"/>
    <x v="1"/>
    <n v="-13.37135736842105"/>
    <n v="0.99318642778105348"/>
    <n v="-10.50305500557908"/>
    <n v="0.2006619859507501"/>
    <n v="0"/>
    <n v="0"/>
    <n v="1567.0014009399461"/>
    <n v="-1.007341329486753E-2"/>
    <n v="0.99703356770046858"/>
    <n v="845.44203884780234"/>
    <n v="-1.7068089905171609E-2"/>
    <n v="0.2105430243127269"/>
  </r>
  <r>
    <x v="4"/>
    <s v="Cas_only"/>
    <x v="0"/>
    <x v="1"/>
    <x v="2"/>
    <n v="-22.742688888888889"/>
    <n v="0.98689375223477982"/>
    <n v="-8.5784440923469898"/>
    <n v="0.9834414720925716"/>
    <n v="-5.917233333333332"/>
    <n v="-0.79616246263417789"/>
    <n v="1884.6562222033599"/>
    <n v="-1.3682920422255411E-2"/>
    <n v="0.9907121780097351"/>
    <n v="831.15095195055756"/>
    <n v="-1.148221457776814E-2"/>
    <n v="0.98759631077622556"/>
  </r>
  <r>
    <x v="4"/>
    <s v="Cas_only"/>
    <x v="0"/>
    <x v="1"/>
    <x v="3"/>
    <n v="-12.722229473684211"/>
    <n v="0.99012687023978696"/>
    <n v="-5.8703117931410924"/>
    <n v="0.70227506425522168"/>
    <n v="0.64912789473683929"/>
    <n v="4.6327432124379921"/>
    <n v="1578.2327357072711"/>
    <n v="-9.4292647577343472E-3"/>
    <n v="0.99493881775988946"/>
    <n v="719.04766099286974"/>
    <n v="-9.895192717672148E-3"/>
    <n v="0.72595111202512974"/>
  </r>
  <r>
    <x v="4"/>
    <s v="Cas_only"/>
    <x v="0"/>
    <x v="1"/>
    <x v="4"/>
    <n v="-22.505299999999998"/>
    <n v="0.96120800560304642"/>
    <n v="-8.3992363956905187"/>
    <n v="0.9453779593752748"/>
    <n v="-5.6798444444444449"/>
    <n v="-0.61695476597770682"/>
    <n v="1863.2245780710859"/>
    <n v="-1.374060614900191E-2"/>
    <n v="0.96756624780920741"/>
    <n v="833.66717312485957"/>
    <n v="-1.121391497213152E-2"/>
    <n v="0.9520771608043741"/>
  </r>
  <r>
    <x v="4"/>
    <s v="Cas_only"/>
    <x v="0"/>
    <x v="1"/>
    <x v="5"/>
    <n v="-13.63161631578947"/>
    <n v="0.99438902121214445"/>
    <n v="-4.5624746963089153"/>
    <n v="5.702814660327804E-2"/>
    <n v="-0.2602589473684187"/>
    <n v="5.9405803092701683"/>
    <n v="1563.292674147559"/>
    <n v="-1.033161242482541E-2"/>
    <n v="0.99782768517806997"/>
    <n v="720.59474933615684"/>
    <n v="-6.9390592924281269E-3"/>
    <n v="5.584583550686828E-2"/>
  </r>
  <r>
    <x v="4"/>
    <s v="Cas_only"/>
    <x v="0"/>
    <x v="1"/>
    <x v="6"/>
    <n v="-22.58946666666667"/>
    <n v="0.96063549446427032"/>
    <n v="-8.0580460931213516"/>
    <n v="0.93681471592883969"/>
    <n v="-5.7640111111111096"/>
    <n v="-0.27576446340853972"/>
    <n v="1794.0407399355729"/>
    <n v="-1.443000488131726E-2"/>
    <n v="0.96827786722422482"/>
    <n v="785.58512013492168"/>
    <n v="-1.1457462369311279E-2"/>
    <n v="0.94477895194796035"/>
  </r>
  <r>
    <x v="4"/>
    <s v="Cas_only"/>
    <x v="0"/>
    <x v="1"/>
    <x v="7"/>
    <n v="-12.814515263157899"/>
    <n v="0.99550307152296647"/>
    <n v="-20.56432150864886"/>
    <n v="0.18330284915845829"/>
    <n v="0.55684210526315248"/>
    <n v="-10.061266503069779"/>
    <n v="1570.1600336316999"/>
    <n v="-9.5391949336115049E-3"/>
    <n v="0.9978398702589435"/>
    <n v="1154.75325507295"/>
    <n v="-2.540233659830932E-2"/>
    <n v="0.1767546960870422"/>
  </r>
  <r>
    <x v="4"/>
    <s v="Cas_only"/>
    <x v="0"/>
    <x v="1"/>
    <x v="8"/>
    <n v="-15.663888888888881"/>
    <n v="0.99248769401118508"/>
    <n v="43.40495690649842"/>
    <n v="0.66393809839290252"/>
    <n v="1.161566666666674"/>
    <n v="51.187238536211233"/>
    <n v="1344.364213970772"/>
    <n v="-1.3106698074165601E-2"/>
    <n v="0.99344118910552492"/>
    <n v="401.62760896516232"/>
    <n v="6.3300775016354172E-2"/>
    <n v="0.70906115665146863"/>
  </r>
  <r>
    <x v="4"/>
    <s v="Cas_only"/>
    <x v="0"/>
    <x v="1"/>
    <x v="9"/>
    <n v="-13.38662210526315"/>
    <n v="0.98956095203129257"/>
    <n v="-6.3638680375704766"/>
    <n v="0.1396804710089011"/>
    <n v="-1.526473684210394E-2"/>
    <n v="4.1391869680086062"/>
    <n v="1601.3629729587969"/>
    <n v="-9.8405169048696173E-3"/>
    <n v="0.99419656369520049"/>
    <n v="711.03633802612399"/>
    <n v="-1.150394883622167E-2"/>
    <n v="0.14934496769108321"/>
  </r>
  <r>
    <x v="5"/>
    <s v="Cas_complex"/>
    <x v="1"/>
    <x v="0"/>
    <x v="0"/>
    <n v="-3.0735333333333319"/>
    <n v="0.93324351487864377"/>
    <n v="-1.249727355674366"/>
    <n v="2.0291487849277701E-3"/>
    <n v="0"/>
    <n v="0"/>
    <n v="169.57892275365981"/>
    <n v="-2.228164857852135E-2"/>
    <n v="0.94232836065129233"/>
    <n v="299.82816346757562"/>
    <n v="-5.3831561570881004E-3"/>
    <n v="2.495522705903364E-3"/>
  </r>
  <r>
    <x v="5"/>
    <s v="Cas_complex"/>
    <x v="1"/>
    <x v="0"/>
    <x v="1"/>
    <n v="-1.706474210526316"/>
    <n v="0.94319224815964453"/>
    <n v="-7.8378821735444761"/>
    <n v="0.1459607801330661"/>
    <n v="0"/>
    <n v="0"/>
    <n v="150.84932737461409"/>
    <n v="-1.456125632089149E-2"/>
    <n v="0.9625213340381974"/>
    <n v="463.19886040968811"/>
    <n v="-1.9577324074723259E-2"/>
    <n v="0.12427304555515439"/>
  </r>
  <r>
    <x v="5"/>
    <s v="Cas_complex"/>
    <x v="1"/>
    <x v="0"/>
    <x v="2"/>
    <n v="-2.4484333333333361"/>
    <n v="0.9306212033193193"/>
    <n v="6.119751806679723"/>
    <n v="2.531818640196681E-2"/>
    <n v="0.62509999999999666"/>
    <n v="7.3694791623540894"/>
    <n v="126.0740619328374"/>
    <n v="-2.4521039930350982E-2"/>
    <n v="0.94641428379733961"/>
    <n v="230.38394703262131"/>
    <n v="1.8024763845588581E-2"/>
    <n v="2.0228500873605171E-2"/>
  </r>
  <r>
    <x v="5"/>
    <s v="Cas_complex"/>
    <x v="1"/>
    <x v="0"/>
    <x v="3"/>
    <n v="-1.5233747368421049"/>
    <n v="0.93818868316554271"/>
    <n v="-6.0220178976987508"/>
    <n v="0.1660219427206775"/>
    <n v="0.18309947368421131"/>
    <n v="1.8158642758457251"/>
    <n v="144.1022075002989"/>
    <n v="-1.335572537717941E-2"/>
    <n v="0.95741842036488289"/>
    <n v="421.68528360685298"/>
    <n v="-2.1890618715381178E-2"/>
    <n v="0.18065341698479309"/>
  </r>
  <r>
    <x v="5"/>
    <s v="Cas_complex"/>
    <x v="1"/>
    <x v="0"/>
    <x v="4"/>
    <n v="-2.2978111111111139"/>
    <n v="0.90042661793325518"/>
    <n v="3.9444670986486638"/>
    <n v="1.7896124614377951E-2"/>
    <n v="0.77572222222221843"/>
    <n v="5.1941944543230303"/>
    <n v="117.4776006311432"/>
    <n v="-2.4763233638177361E-2"/>
    <n v="0.91615899574061954"/>
    <n v="224.1537488790155"/>
    <n v="1.5581678672065001E-2"/>
    <n v="1.8230254983562011E-2"/>
  </r>
  <r>
    <x v="5"/>
    <s v="Cas_complex"/>
    <x v="1"/>
    <x v="0"/>
    <x v="5"/>
    <n v="-1.3852884210526311"/>
    <n v="0.94875058826428016"/>
    <n v="-0.89575255426720146"/>
    <n v="3.5139204031032771E-3"/>
    <n v="0.32118578947368492"/>
    <n v="6.9421296192772743"/>
    <n v="142.55837073705331"/>
    <n v="-1.19393805346327E-2"/>
    <n v="0.96262487212195247"/>
    <n v="318.05025856704339"/>
    <n v="-3.0448130462722108E-3"/>
    <n v="3.6148840589199649E-3"/>
  </r>
  <r>
    <x v="5"/>
    <s v="Cas_complex"/>
    <x v="1"/>
    <x v="0"/>
    <x v="6"/>
    <n v="-2.5092111111111119"/>
    <n v="0.89430066530371211"/>
    <n v="0.2118201884385478"/>
    <n v="1.071899079763128E-4"/>
    <n v="0.56432222222222084"/>
    <n v="1.461547544112914"/>
    <n v="121.2061895017609"/>
    <n v="-2.6833121202851161E-2"/>
    <n v="0.91507565356064891"/>
    <n v="289.67737414762519"/>
    <n v="7.3236325155448306E-4"/>
    <n v="1.0807654255406971E-4"/>
  </r>
  <r>
    <x v="5"/>
    <s v="Cas_complex"/>
    <x v="1"/>
    <x v="0"/>
    <x v="7"/>
    <n v="-1.5623615789473679"/>
    <n v="0.94113700496027541"/>
    <n v="-8.2277039500974389"/>
    <n v="0.1988092100431382"/>
    <n v="0.14411263157894849"/>
    <n v="-0.3898217765529628"/>
    <n v="144.67622640346281"/>
    <n v="-1.368245822598398E-2"/>
    <n v="0.95829423657982238"/>
    <n v="466.15307509230882"/>
    <n v="-2.336137810125629E-2"/>
    <n v="0.1829501206371337"/>
  </r>
  <r>
    <x v="5"/>
    <s v="Cas_complex"/>
    <x v="1"/>
    <x v="0"/>
    <x v="8"/>
    <n v="-2.0631111111111111"/>
    <n v="0.91726323151878608"/>
    <n v="-10.76564537862288"/>
    <n v="0.32866199079096559"/>
    <n v="1.010422222222221"/>
    <n v="-9.5159180229485099"/>
    <n v="100.05855321673241"/>
    <n v="-2.6607889492833929E-2"/>
    <n v="0.93630856203046098"/>
    <n v="381.66302629323889"/>
    <n v="-3.5698890350608692E-2"/>
    <n v="0.30487847226378162"/>
  </r>
  <r>
    <x v="5"/>
    <s v="Cas_complex"/>
    <x v="1"/>
    <x v="0"/>
    <x v="9"/>
    <n v="-1.411398421052632"/>
    <n v="0.94268838668852217"/>
    <n v="-5.5864979541274309"/>
    <n v="0.25257546193185137"/>
    <n v="0.29507578947368368"/>
    <n v="2.2513842194170448"/>
    <n v="133.1569943164917"/>
    <n v="-1.337083300283891E-2"/>
    <n v="0.96033646568985742"/>
    <n v="433.25410420942569"/>
    <n v="-1.9805425068264569E-2"/>
    <n v="0.28348171791995219"/>
  </r>
  <r>
    <x v="6"/>
    <s v="Cas_complex"/>
    <x v="1"/>
    <x v="1"/>
    <x v="0"/>
    <n v="-5.4101555555555558"/>
    <n v="0.98711762380271972"/>
    <n v="-15.714773964893601"/>
    <n v="0.34189006229463381"/>
    <n v="0"/>
    <n v="0"/>
    <n v="223.39867997782579"/>
    <n v="-3.2379490624012033E-2"/>
    <n v="0.99382154750395835"/>
    <n v="490.82791159530632"/>
    <n v="-5.834283563527122E-2"/>
    <n v="0.37918830094208128"/>
  </r>
  <r>
    <x v="6"/>
    <s v="Cas_complex"/>
    <x v="1"/>
    <x v="1"/>
    <x v="1"/>
    <n v="-2.429554210526315"/>
    <n v="0.97969247030126683"/>
    <n v="-4.5177715796219866"/>
    <n v="0.27393307220874907"/>
    <n v="0"/>
    <n v="0"/>
    <n v="186.78963915965161"/>
    <n v="-1.733193207497313E-2"/>
    <n v="0.99188754073399732"/>
    <n v="401.66206581039819"/>
    <n v="-1.4752776628521371E-2"/>
    <n v="0.28426463301894872"/>
  </r>
  <r>
    <x v="6"/>
    <s v="Cas_complex"/>
    <x v="1"/>
    <x v="1"/>
    <x v="2"/>
    <n v="-6.9684888888888974"/>
    <n v="0.96124732738141749"/>
    <n v="-14.707086259311261"/>
    <n v="0.65836962131929255"/>
    <n v="-1.5583333333333409"/>
    <n v="1.0076877055823421"/>
    <n v="278.86258111648101"/>
    <n v="-3.4261101305669603E-2"/>
    <n v="0.97636931456766385"/>
    <n v="583.30447853564976"/>
    <n v="-3.7077082131113687E-2"/>
    <n v="0.6998439811167867"/>
  </r>
  <r>
    <x v="6"/>
    <s v="Cas_complex"/>
    <x v="1"/>
    <x v="1"/>
    <x v="3"/>
    <n v="-2.4085121052631582"/>
    <n v="0.96764180036711589"/>
    <n v="-2.1887067136870049"/>
    <n v="5.0668086332817393E-2"/>
    <n v="2.1042105263156859E-2"/>
    <n v="2.3290648659349831"/>
    <n v="186.30177495523719"/>
    <n v="-1.7269608799300479E-2"/>
    <n v="0.98295498596162623"/>
    <n v="351.89824023833319"/>
    <n v="-7.5525390293322324E-3"/>
    <n v="5.4447789400801749E-2"/>
  </r>
  <r>
    <x v="6"/>
    <s v="Cas_complex"/>
    <x v="1"/>
    <x v="1"/>
    <x v="4"/>
    <n v="-6.1098888888888938"/>
    <n v="0.95058778217692119"/>
    <n v="-7.7269363638102622"/>
    <n v="0.90491101856742162"/>
    <n v="-0.69973333333333798"/>
    <n v="7.9878376010833421"/>
    <n v="261.1643092721842"/>
    <n v="-3.1325322391582928E-2"/>
    <n v="0.96684860274057338"/>
    <n v="476.48388434754412"/>
    <n v="-1.9623877700087781E-2"/>
    <n v="0.92025439627612837"/>
  </r>
  <r>
    <x v="6"/>
    <s v="Cas_complex"/>
    <x v="1"/>
    <x v="1"/>
    <x v="5"/>
    <n v="-2.5768700000000022"/>
    <n v="0.96417110841248876"/>
    <n v="-6.089245965611975E-3"/>
    <n v="2.6786448359406018E-7"/>
    <n v="-0.1473157894736867"/>
    <n v="4.5116823336563758"/>
    <n v="191.92483352239429"/>
    <n v="-1.828448151915579E-2"/>
    <n v="0.983259958009715"/>
    <n v="284.26729819383161"/>
    <n v="-2.510192983325101E-5"/>
    <n v="3.153102050568179E-7"/>
  </r>
  <r>
    <x v="6"/>
    <s v="Cas_complex"/>
    <x v="1"/>
    <x v="1"/>
    <x v="6"/>
    <n v="-5.5266444444444476"/>
    <n v="0.95942866173029295"/>
    <n v="-7.1095813262469996"/>
    <n v="0.94971751982559771"/>
    <n v="-0.1164888888888926"/>
    <n v="8.6051926386466047"/>
    <n v="249.50995726388649"/>
    <n v="-2.9094528034852019E-2"/>
    <n v="0.97585939152450474"/>
    <n v="464.65709614900197"/>
    <n v="-1.8172123432662932E-2"/>
    <n v="0.96002248645772426"/>
  </r>
  <r>
    <x v="6"/>
    <s v="Cas_complex"/>
    <x v="1"/>
    <x v="1"/>
    <x v="7"/>
    <n v="-2.4171231578947361"/>
    <n v="0.96618574210868813"/>
    <n v="-3.748690251284819"/>
    <n v="0.13055802346877049"/>
    <n v="1.24310526315794E-2"/>
    <n v="0.76908132833716891"/>
    <n v="186.30175759532131"/>
    <n v="-1.7361630245425291E-2"/>
    <n v="0.98180390080814017"/>
    <n v="363.39556679077651"/>
    <n v="-1.3306328075651991E-2"/>
    <n v="0.13600624161699401"/>
  </r>
  <r>
    <x v="6"/>
    <s v="Cas_complex"/>
    <x v="1"/>
    <x v="1"/>
    <x v="8"/>
    <n v="-4.2734888888888882"/>
    <n v="0.97377659360821467"/>
    <n v="-3.268857420261281"/>
    <n v="2.609414773546892E-2"/>
    <n v="1.136666666666668"/>
    <n v="12.44591654463232"/>
    <n v="207.27501100523051"/>
    <n v="-2.6298264214435471E-2"/>
    <n v="0.98526542077908774"/>
    <n v="339.6672415913323"/>
    <n v="-1.065848438246063E-2"/>
    <n v="2.628260614213318E-2"/>
  </r>
  <r>
    <x v="6"/>
    <s v="Cas_complex"/>
    <x v="1"/>
    <x v="1"/>
    <x v="9"/>
    <n v="-2.6524305263157921"/>
    <n v="0.98014352607626087"/>
    <n v="-1.2519457882273179"/>
    <n v="1.3560719536933051E-2"/>
    <n v="-0.22287631578947659"/>
    <n v="3.2658257913946689"/>
    <n v="190.197355733298"/>
    <n v="-1.9108335248426631E-2"/>
    <n v="0.99322484357483143"/>
    <n v="326.56460728254808"/>
    <n v="-4.6984488779585401E-3"/>
    <n v="1.5396940715605489E-2"/>
  </r>
  <r>
    <x v="7"/>
    <s v="Cas_complex"/>
    <x v="2"/>
    <x v="1"/>
    <x v="0"/>
    <n v="-52.864900000000013"/>
    <n v="0.99734405527350012"/>
    <n v="186.63161140535979"/>
    <n v="0.96408411339762834"/>
    <n v="0"/>
    <n v="0"/>
    <n v="3982.1072456932861"/>
    <n v="-1.518408833510965E-2"/>
    <n v="0.99669701653279397"/>
    <n v="17289.29260052865"/>
    <n v="9.8540317115969472E-3"/>
    <n v="0.9623584764487122"/>
  </r>
  <r>
    <x v="7"/>
    <s v="Cas_complex"/>
    <x v="2"/>
    <x v="1"/>
    <x v="1"/>
    <n v="-26.15089789473684"/>
    <n v="0.99207856930853222"/>
    <n v="123.3233093963331"/>
    <n v="0.90920188767084176"/>
    <n v="0"/>
    <n v="0"/>
    <n v="3615.5252059307782"/>
    <n v="-8.304770119087021E-3"/>
    <n v="0.99612476471964206"/>
    <n v="18338.06382481167"/>
    <n v="6.0466502893923206E-3"/>
    <n v="0.90397685933445737"/>
  </r>
  <r>
    <x v="7"/>
    <s v="Cas_complex"/>
    <x v="2"/>
    <x v="1"/>
    <x v="2"/>
    <n v="-39.60401111111112"/>
    <n v="0.93586347906618716"/>
    <n v="150.37885963902869"/>
    <n v="0.85464511742761873"/>
    <n v="13.260888888888889"/>
    <n v="-36.252751766331102"/>
    <n v="3897.271941168482"/>
    <n v="-1.1331073785102111E-2"/>
    <n v="0.94321699077025056"/>
    <n v="16555.935866912241"/>
    <n v="8.3694038935793035E-3"/>
    <n v="0.8495612598607859"/>
  </r>
  <r>
    <x v="7"/>
    <s v="Cas_complex"/>
    <x v="2"/>
    <x v="1"/>
    <x v="3"/>
    <n v="-25.14335473684211"/>
    <n v="0.9908279349150646"/>
    <n v="80.146881515881361"/>
    <n v="0.45026232589734411"/>
    <n v="1.007543157894734"/>
    <n v="-43.176427880451698"/>
    <n v="3552.698947153985"/>
    <n v="-8.1022878830951106E-3"/>
    <n v="0.99515881540631357"/>
    <n v="18454.046641612698"/>
    <n v="3.9764135459863306E-3"/>
    <n v="0.44034146165672272"/>
  </r>
  <r>
    <x v="7"/>
    <s v="Cas_complex"/>
    <x v="2"/>
    <x v="1"/>
    <x v="4"/>
    <n v="-40.231366666666673"/>
    <n v="0.95426215961453364"/>
    <n v="168.65453060904869"/>
    <n v="0.86255290715730837"/>
    <n v="12.633533333333339"/>
    <n v="-17.97708079631116"/>
    <n v="3873.8814379419159"/>
    <n v="-1.158314081485181E-2"/>
    <n v="0.95987233803812766"/>
    <n v="16455.928331584149"/>
    <n v="9.4045927336595999E-3"/>
    <n v="0.86199627723578909"/>
  </r>
  <r>
    <x v="7"/>
    <s v="Cas_complex"/>
    <x v="2"/>
    <x v="1"/>
    <x v="5"/>
    <n v="-22.606651578947371"/>
    <n v="0.99155277364487859"/>
    <n v="13.33073275578025"/>
    <n v="3.0245903800054211E-2"/>
    <n v="3.544246315789469"/>
    <n v="-109.9925766405528"/>
    <n v="3529.1807353949698"/>
    <n v="-7.2138180570725276E-3"/>
    <n v="0.99357469277178256"/>
    <n v="18578.20959851686"/>
    <n v="6.9953816944308769E-4"/>
    <n v="2.982751268698847E-2"/>
  </r>
  <r>
    <x v="7"/>
    <s v="Cas_complex"/>
    <x v="2"/>
    <x v="1"/>
    <x v="6"/>
    <n v="-41.191055555555558"/>
    <n v="0.96293680422755457"/>
    <n v="359.62345491116179"/>
    <n v="0.9705297728096024"/>
    <n v="11.673844444444461"/>
    <n v="172.991843505802"/>
    <n v="3672.9422153925329"/>
    <n v="-1.262634723745709E-2"/>
    <n v="0.96878836394424594"/>
    <n v="18199.141694504749"/>
    <n v="1.6857121819853792E-2"/>
    <n v="0.96554016560931877"/>
  </r>
  <r>
    <x v="7"/>
    <s v="Cas_complex"/>
    <x v="2"/>
    <x v="1"/>
    <x v="7"/>
    <n v="-21.631664210526321"/>
    <n v="0.98715377788827618"/>
    <n v="65.853705342653413"/>
    <n v="0.58395000333861158"/>
    <n v="4.5192336842105227"/>
    <n v="-57.469604053679653"/>
    <n v="3432.221146326684"/>
    <n v="-7.0959600006271191E-3"/>
    <n v="0.99078547035055209"/>
    <n v="20105.155991906111"/>
    <n v="3.093487993206071E-3"/>
    <n v="0.58046667476240421"/>
  </r>
  <r>
    <x v="7"/>
    <s v="Cas_complex"/>
    <x v="2"/>
    <x v="1"/>
    <x v="8"/>
    <n v="-30.02085555555556"/>
    <n v="0.95520767566786857"/>
    <n v="-2098.0717910546032"/>
    <n v="0.67480145270146386"/>
    <n v="22.84404444444446"/>
    <n v="-2284.703402459962"/>
    <n v="2626.4589095059018"/>
    <n v="-1.291697067096205E-2"/>
    <n v="0.96212676918951301"/>
    <n v="56115.43729259391"/>
    <n v="-0.25658033285892889"/>
    <n v="0.73857634315857668"/>
  </r>
  <r>
    <x v="7"/>
    <s v="Cas_complex"/>
    <x v="2"/>
    <x v="1"/>
    <x v="9"/>
    <n v="-25.55571315789474"/>
    <n v="0.99290506195850359"/>
    <n v="1.52885461587646"/>
    <n v="5.0757803134660051E-4"/>
    <n v="0.59518473684210349"/>
    <n v="-121.7944547804566"/>
    <n v="3550.873059402601"/>
    <n v="-8.2415251595928368E-3"/>
    <n v="0.99528992943237871"/>
    <n v="18452.824205450579"/>
    <n v="8.229811238718943E-5"/>
    <n v="5.0484243781823146E-4"/>
  </r>
  <r>
    <x v="8"/>
    <s v="Cas_complex"/>
    <x v="2"/>
    <x v="1"/>
    <x v="0"/>
    <n v="-42.286177777777773"/>
    <n v="0.99487554801471811"/>
    <n v="-9.0930680016554424E-3"/>
    <n v="3.2378486225503877E-8"/>
    <n v="0"/>
    <n v="0"/>
    <n v="4353.3442491605711"/>
    <n v="-1.067944346423437E-2"/>
    <n v="0.99441529238324933"/>
    <n v="15623.973591181521"/>
    <n v="-9.6474120699191966E-7"/>
    <n v="1.7769038906934039E-8"/>
  </r>
  <r>
    <x v="8"/>
    <s v="Cas_complex"/>
    <x v="2"/>
    <x v="1"/>
    <x v="1"/>
    <n v="-33.870923684210517"/>
    <n v="0.99267406014561854"/>
    <n v="46.145276940677547"/>
    <n v="0.6979198566473066"/>
    <n v="0"/>
    <n v="0"/>
    <n v="4125.6060933400549"/>
    <n v="-9.6286414570115816E-3"/>
    <n v="0.99698426328745993"/>
    <n v="14894.246943333999"/>
    <n v="2.9472005077430339E-3"/>
    <n v="0.69704369646958275"/>
  </r>
  <r>
    <x v="8"/>
    <s v="Cas_complex"/>
    <x v="2"/>
    <x v="1"/>
    <x v="2"/>
    <n v="-41.953133333333319"/>
    <n v="0.97818833659412829"/>
    <n v="107.01573440044081"/>
    <n v="0.84541194482627902"/>
    <n v="0.3330444444444538"/>
    <n v="107.0248274684425"/>
    <n v="4596.8245595575227"/>
    <n v="-1.0003234801964359E-2"/>
    <n v="0.98054148285057607"/>
    <n v="13702.24522939214"/>
    <n v="7.3426087779780444E-3"/>
    <n v="0.84943094660305607"/>
  </r>
  <r>
    <x v="8"/>
    <s v="Cas_complex"/>
    <x v="2"/>
    <x v="1"/>
    <x v="3"/>
    <n v="-29.639869473684229"/>
    <n v="0.99432146309190728"/>
    <n v="50.588282270826227"/>
    <n v="0.8289478154692328"/>
    <n v="4.2310542105262954"/>
    <n v="4.4430053301486794"/>
    <n v="4223.9703220903457"/>
    <n v="-7.9961594088989955E-3"/>
    <n v="0.99570128639262812"/>
    <n v="14433.467725100139"/>
    <n v="3.3186566338867648E-3"/>
    <n v="0.829169908808147"/>
  </r>
  <r>
    <x v="8"/>
    <s v="Cas_complex"/>
    <x v="2"/>
    <x v="1"/>
    <x v="4"/>
    <n v="-48.903788888888933"/>
    <n v="0.95587247704425271"/>
    <n v="129.76982289922231"/>
    <n v="0.86126732938100747"/>
    <n v="-6.6176111111111524"/>
    <n v="129.7789159672239"/>
    <n v="4510.9528067622168"/>
    <n v="-1.2168421260659149E-2"/>
    <n v="0.96262614255578349"/>
    <n v="13733.413619311959"/>
    <n v="8.6895103205141249E-3"/>
    <n v="0.85695301036165783"/>
  </r>
  <r>
    <x v="8"/>
    <s v="Cas_complex"/>
    <x v="2"/>
    <x v="1"/>
    <x v="5"/>
    <n v="-27.251178421052622"/>
    <n v="0.99501860313962354"/>
    <n v="65.24539474302631"/>
    <n v="0.79408640894822635"/>
    <n v="6.6197452631579026"/>
    <n v="19.100117802348759"/>
    <n v="4008.4433067493701"/>
    <n v="-7.7185398764565306E-3"/>
    <n v="0.99712964517595926"/>
    <n v="14366.11034096559"/>
    <n v="4.1896825044324508E-3"/>
    <n v="0.78520255476922485"/>
  </r>
  <r>
    <x v="8"/>
    <s v="Cas_complex"/>
    <x v="2"/>
    <x v="1"/>
    <x v="6"/>
    <n v="-39.691266666666728"/>
    <n v="0.99435344673840553"/>
    <n v="85.474118184338025"/>
    <n v="0.73906780346262657"/>
    <n v="2.594911111111045"/>
    <n v="85.483211252339686"/>
    <n v="4048.6107359159319"/>
    <n v="-1.0808056603496321E-2"/>
    <n v="0.99545186593108115"/>
    <n v="14637.469585750299"/>
    <n v="5.5415189831506421E-3"/>
    <n v="0.73739151547555692"/>
  </r>
  <r>
    <x v="8"/>
    <s v="Cas_complex"/>
    <x v="2"/>
    <x v="1"/>
    <x v="7"/>
    <n v="-30.343084736842119"/>
    <n v="0.99374207140942794"/>
    <n v="24.997891783859661"/>
    <n v="0.4898115888396507"/>
    <n v="3.5278389473684091"/>
    <n v="-21.14738515681789"/>
    <n v="3998.1214890747719"/>
    <n v="-8.7709080989360391E-3"/>
    <n v="0.99690389855542905"/>
    <n v="15173.06217386266"/>
    <n v="1.6066158209976759E-3"/>
    <n v="0.49046581865907618"/>
  </r>
  <r>
    <x v="8"/>
    <s v="Cas_complex"/>
    <x v="2"/>
    <x v="1"/>
    <x v="8"/>
    <n v="-43.515877777777767"/>
    <n v="0.9952111370290796"/>
    <n v="188.6507026168814"/>
    <n v="0.97505495352711946"/>
    <n v="-1.229699999999994"/>
    <n v="188.65979568488299"/>
    <n v="2858.2787255569692"/>
    <n v="-1.774914615707722E-2"/>
    <n v="0.9912476213072996"/>
    <n v="17266.436347294079"/>
    <n v="9.9891094907796525E-3"/>
    <n v="0.97601826406391334"/>
  </r>
  <r>
    <x v="8"/>
    <s v="Cas_complex"/>
    <x v="2"/>
    <x v="1"/>
    <x v="9"/>
    <n v="-31.828581578947379"/>
    <n v="0.99515345318757786"/>
    <n v="24.232688260662481"/>
    <n v="0.47186814372400671"/>
    <n v="2.042342105263149"/>
    <n v="-21.91258868001508"/>
    <n v="3973.5819841041821"/>
    <n v="-9.3422828742019976E-3"/>
    <n v="0.99845730058852344"/>
    <n v="15426.978354446899"/>
    <n v="1.533464246093212E-3"/>
    <n v="0.47244830290170342"/>
  </r>
  <r>
    <x v="9"/>
    <s v="Cas_complex"/>
    <x v="0"/>
    <x v="0"/>
    <x v="0"/>
    <n v="-26.748111111111111"/>
    <n v="0.98354992847397116"/>
    <n v="-13.87458190625717"/>
    <n v="0.97189484479411559"/>
    <n v="0"/>
    <n v="0"/>
    <n v="2284.0573507870449"/>
    <n v="-1.3231080696077171E-2"/>
    <n v="0.98772552913066858"/>
    <n v="1073.8082520368971"/>
    <n v="-1.485975109299153E-2"/>
    <n v="0.97937856812502455"/>
  </r>
  <r>
    <x v="9"/>
    <s v="Cas_complex"/>
    <x v="0"/>
    <x v="0"/>
    <x v="1"/>
    <n v="-17.917905263157898"/>
    <n v="0.99180104395237312"/>
    <n v="-8.0393313972405416"/>
    <n v="0.98777740643188505"/>
    <n v="0"/>
    <n v="0"/>
    <n v="2173.9466739965392"/>
    <n v="-9.6800928977095052E-3"/>
    <n v="0.996709905649381"/>
    <n v="998.51937253390088"/>
    <n v="-9.429973169758148E-3"/>
    <n v="0.99384886435115094"/>
  </r>
  <r>
    <x v="9"/>
    <s v="Cas_complex"/>
    <x v="0"/>
    <x v="0"/>
    <x v="2"/>
    <n v="-22.749211111111119"/>
    <n v="0.95778564617488815"/>
    <n v="17.261601735420498"/>
    <n v="0.1343496378582677"/>
    <n v="3.9988999999999879"/>
    <n v="31.136183641677679"/>
    <n v="1791.7740592050441"/>
    <n v="-1.4583642063787639E-2"/>
    <n v="0.96630137214447553"/>
    <n v="664.83637504394585"/>
    <n v="2.3981324910996499E-2"/>
    <n v="0.15442552771841239"/>
  </r>
  <r>
    <x v="9"/>
    <s v="Cas_complex"/>
    <x v="0"/>
    <x v="0"/>
    <x v="3"/>
    <n v="-16.663208947368432"/>
    <n v="0.99254158016647676"/>
    <n v="-7.3635751381664063"/>
    <n v="0.98950691018330117"/>
    <n v="1.2546963157894699"/>
    <n v="0.67575625907413528"/>
    <n v="2034.006324019477"/>
    <n v="-9.5975828798216273E-3"/>
    <n v="0.99623968254241135"/>
    <n v="931.99980218005885"/>
    <n v="-9.2085118932217717E-3"/>
    <n v="0.99417976857172929"/>
  </r>
  <r>
    <x v="9"/>
    <s v="Cas_complex"/>
    <x v="0"/>
    <x v="0"/>
    <x v="4"/>
    <n v="-22.911022222222218"/>
    <n v="0.95333895088973641"/>
    <n v="-10.625773405520309"/>
    <n v="0.92351127794873644"/>
    <n v="3.8370888888888861"/>
    <n v="3.2488085007368599"/>
    <n v="1841.534365582369"/>
    <n v="-1.4229520322767411E-2"/>
    <n v="0.96068559707114598"/>
    <n v="870.90487833775762"/>
    <n v="-1.397053664761976E-2"/>
    <n v="0.93381379144711596"/>
  </r>
  <r>
    <x v="9"/>
    <s v="Cas_complex"/>
    <x v="0"/>
    <x v="0"/>
    <x v="5"/>
    <n v="-15.81488842105264"/>
    <n v="0.98853061156362476"/>
    <n v="-7.3946821949861654"/>
    <n v="0.98141075391733534"/>
    <n v="2.1030168421052622"/>
    <n v="0.64464920225437616"/>
    <n v="2092.2172727936472"/>
    <n v="-8.744522579041453E-3"/>
    <n v="0.99307699963421281"/>
    <n v="967.93700446720402"/>
    <n v="-8.8752762398189092E-3"/>
    <n v="0.98803908870697432"/>
  </r>
  <r>
    <x v="9"/>
    <s v="Cas_complex"/>
    <x v="0"/>
    <x v="0"/>
    <x v="6"/>
    <n v="-20.667222222222229"/>
    <n v="0.96593161724222287"/>
    <n v="-8.8812249841980577"/>
    <n v="0.92649599362973967"/>
    <n v="6.0808888888888788"/>
    <n v="4.9933569220591139"/>
    <n v="1721.920838864231"/>
    <n v="-1.3646428166625551E-2"/>
    <n v="0.97260407149827754"/>
    <n v="818.09999514247977"/>
    <n v="-1.22228308183072E-2"/>
    <n v="0.93548042347887994"/>
  </r>
  <r>
    <x v="9"/>
    <s v="Cas_complex"/>
    <x v="0"/>
    <x v="0"/>
    <x v="7"/>
    <n v="-15.68482"/>
    <n v="0.99332359865615238"/>
    <n v="-6.9193820226118321"/>
    <n v="0.98596717603027373"/>
    <n v="2.233085263157895"/>
    <n v="1.119949374628709"/>
    <n v="2026.6669783342891"/>
    <n v="-8.9745754677153719E-3"/>
    <n v="0.99666226567908811"/>
    <n v="925.71074547496244"/>
    <n v="-8.6422179029493444E-3"/>
    <n v="0.99156096344170974"/>
  </r>
  <r>
    <x v="9"/>
    <s v="Cas_complex"/>
    <x v="0"/>
    <x v="0"/>
    <x v="8"/>
    <n v="-15.38126666666666"/>
    <n v="0.9741551314213468"/>
    <n v="8.3353014885247099"/>
    <n v="4.4937861692329488E-2"/>
    <n v="11.36684444444445"/>
    <n v="22.20988339478188"/>
    <n v="1174.7172713335631"/>
    <n v="-1.505555086140449E-2"/>
    <n v="0.97976820188028013"/>
    <n v="898.54764041491558"/>
    <n v="8.0900885153043535E-3"/>
    <n v="4.2158742172354269E-2"/>
  </r>
  <r>
    <x v="9"/>
    <s v="Cas_complex"/>
    <x v="0"/>
    <x v="0"/>
    <x v="9"/>
    <n v="-16.026257894736851"/>
    <n v="0.99072492316842498"/>
    <n v="-6.6443458601100849"/>
    <n v="0.98496110285910421"/>
    <n v="1.8916473684210511"/>
    <n v="1.3949855371304569"/>
    <n v="1960.230781936865"/>
    <n v="-9.5887216764383772E-3"/>
    <n v="0.99567959932656858"/>
    <n v="889.58867484019197"/>
    <n v="-8.6445447721389002E-3"/>
    <n v="0.99154539122321084"/>
  </r>
  <r>
    <x v="10"/>
    <s v="Cas_complex"/>
    <x v="1"/>
    <x v="0"/>
    <x v="0"/>
    <n v="-2.0001333333333342"/>
    <n v="0.97380019790102701"/>
    <n v="-8.9048274029102501"/>
    <n v="0.42910464414354699"/>
    <n v="0"/>
    <n v="0"/>
    <n v="116.86547376938969"/>
    <n v="-2.063554653532701E-2"/>
    <n v="0.9781098212152961"/>
    <n v="429.28194774652229"/>
    <n v="-2.4387216771066061E-2"/>
    <n v="0.40647828527680407"/>
  </r>
  <r>
    <x v="10"/>
    <s v="Cas_complex"/>
    <x v="1"/>
    <x v="0"/>
    <x v="1"/>
    <n v="-2.209487368421053"/>
    <n v="0.96539396171938952"/>
    <n v="-4.4412113151821524"/>
    <n v="0.1508951101042478"/>
    <n v="0"/>
    <n v="0"/>
    <n v="152.13473023230929"/>
    <n v="-2.0426741654687899E-2"/>
    <n v="0.98429894509200733"/>
    <n v="415.93300207946749"/>
    <n v="-1.430172506671991E-2"/>
    <n v="0.16104624501580189"/>
  </r>
  <r>
    <x v="10"/>
    <s v="Cas_complex"/>
    <x v="1"/>
    <x v="0"/>
    <x v="2"/>
    <n v="-3.4538444444444449"/>
    <n v="0.95185633973398309"/>
    <n v="4.6137997882360606"/>
    <n v="0.17169737758822931"/>
    <n v="-1.453711111111111"/>
    <n v="13.51862719114631"/>
    <n v="163.52452547738949"/>
    <n v="-2.6994058868241379E-2"/>
    <n v="0.95911352065460842"/>
    <n v="303.67025582037252"/>
    <n v="1.409584539572371E-2"/>
    <n v="0.1811227411983157"/>
  </r>
  <r>
    <x v="10"/>
    <s v="Cas_complex"/>
    <x v="1"/>
    <x v="0"/>
    <x v="3"/>
    <n v="-2.2876847368421069"/>
    <n v="0.97412764604026369"/>
    <n v="-1.1365388875427631"/>
    <n v="7.2919873260788304E-3"/>
    <n v="-7.8197368421053959E-2"/>
    <n v="3.3046724276393888"/>
    <n v="151.7745609187084"/>
    <n v="-2.1475687365390642E-2"/>
    <n v="0.99053311596693339"/>
    <n v="381.82006078871512"/>
    <n v="-3.1893384620631559E-3"/>
    <n v="7.4174313824474369E-3"/>
  </r>
  <r>
    <x v="10"/>
    <s v="Cas_complex"/>
    <x v="1"/>
    <x v="0"/>
    <x v="4"/>
    <n v="-3.904955555555556"/>
    <n v="0.94650329146560475"/>
    <n v="-16.339216813545178"/>
    <n v="0.27148527431974839"/>
    <n v="-1.9048222222222211"/>
    <n v="-7.4343894106349282"/>
    <n v="170.55397129234589"/>
    <n v="-3.0476470841226209E-2"/>
    <n v="0.96407487979093243"/>
    <n v="494.40938466305983"/>
    <n v="-6.6439383534618396E-2"/>
    <n v="0.30756776796162361"/>
  </r>
  <r>
    <x v="10"/>
    <s v="Cas_complex"/>
    <x v="1"/>
    <x v="0"/>
    <x v="5"/>
    <n v="-2.1316031578947352"/>
    <n v="0.9677223019141612"/>
    <n v="6.4908465956282111"/>
    <n v="7.7247986741098007E-2"/>
    <n v="7.7884210526317776E-2"/>
    <n v="10.932057910810361"/>
    <n v="148.88465065396721"/>
    <n v="-1.9963716194894291E-2"/>
    <n v="0.98504564272795314"/>
    <n v="380.14429798356389"/>
    <n v="1.276528079409031E-2"/>
    <n v="7.1743350043189991E-2"/>
  </r>
  <r>
    <x v="10"/>
    <s v="Cas_complex"/>
    <x v="1"/>
    <x v="0"/>
    <x v="6"/>
    <n v="-3.8608555555555548"/>
    <n v="0.97133792018778364"/>
    <n v="10.68114162444469"/>
    <n v="5.7205617186910307E-2"/>
    <n v="-1.8607222222222211"/>
    <n v="19.585969027354938"/>
    <n v="163.04506292230931"/>
    <n v="-3.1743061480806897E-2"/>
    <n v="0.9857585339273951"/>
    <n v="271.18142729021861"/>
    <n v="2.6452555465965609E-2"/>
    <n v="4.9082757336503913E-2"/>
  </r>
  <r>
    <x v="10"/>
    <s v="Cas_complex"/>
    <x v="1"/>
    <x v="0"/>
    <x v="7"/>
    <n v="-2.059945789473685"/>
    <n v="0.96365048237724582"/>
    <n v="-8.3051808296023886"/>
    <n v="0.262307978025759"/>
    <n v="0.14954157894736839"/>
    <n v="-3.8639695144202362"/>
    <n v="139.54946112140351"/>
    <n v="-2.099382824151156E-2"/>
    <n v="0.98525809972691514"/>
    <n v="481.83771468777047"/>
    <n v="-2.3470053147832331E-2"/>
    <n v="0.24822115059068359"/>
  </r>
  <r>
    <x v="10"/>
    <s v="Cas_complex"/>
    <x v="1"/>
    <x v="0"/>
    <x v="8"/>
    <n v="-2.9522111111111111"/>
    <n v="0.98835258344397914"/>
    <n v="12.37107092905724"/>
    <n v="8.9528626012159496E-2"/>
    <n v="-0.95207777777777647"/>
    <n v="21.2758983319675"/>
    <n v="133.01689957430651"/>
    <n v="-2.8685615744395598E-2"/>
    <n v="0.99278433670804722"/>
    <n v="204.29102944733711"/>
    <n v="5.0155155342810231E-2"/>
    <n v="0.117910315076057"/>
  </r>
  <r>
    <x v="10"/>
    <s v="Cas_complex"/>
    <x v="1"/>
    <x v="0"/>
    <x v="9"/>
    <n v="-2.1772994736842102"/>
    <n v="0.98302293564271837"/>
    <n v="2.7023709176887949"/>
    <n v="2.262965620463531E-2"/>
    <n v="3.2187894736842797E-2"/>
    <n v="7.1435822328709477"/>
    <n v="142.35280038841751"/>
    <n v="-2.1742646818503519E-2"/>
    <n v="0.99328685254985893"/>
    <n v="232.97209756960839"/>
    <n v="1.0622705313870591E-2"/>
    <n v="2.476232356276065E-2"/>
  </r>
  <r>
    <x v="11"/>
    <s v="Cas_only"/>
    <x v="1"/>
    <x v="1"/>
    <x v="0"/>
    <n v="-4.9031222222222182"/>
    <n v="0.96176766056213348"/>
    <n v="-12.935852216524321"/>
    <n v="0.31124281785704838"/>
    <n v="0"/>
    <n v="0"/>
    <n v="178.8258046406925"/>
    <n v="-3.8700411071772862E-2"/>
    <n v="0.96913951861321102"/>
    <n v="424.06528261058929"/>
    <n v="-5.1296863678090623E-2"/>
    <n v="0.33599412564059761"/>
  </r>
  <r>
    <x v="11"/>
    <s v="Cas_only"/>
    <x v="1"/>
    <x v="1"/>
    <x v="1"/>
    <n v="-1.52263052631579"/>
    <n v="0.97370008818781262"/>
    <n v="-4.9912468697292551"/>
    <n v="0.1399309154642718"/>
    <n v="0"/>
    <n v="0"/>
    <n v="130.6322921908405"/>
    <n v="-1.49400460105274E-2"/>
    <n v="0.98371571468666974"/>
    <n v="332.23117491838809"/>
    <n v="-2.3674396738761719E-2"/>
    <n v="0.15272312887474171"/>
  </r>
  <r>
    <x v="11"/>
    <s v="Cas_only"/>
    <x v="1"/>
    <x v="1"/>
    <x v="2"/>
    <n v="-3.4825555555555572"/>
    <n v="0.90034714352717804"/>
    <n v="7.6162026991431748"/>
    <n v="0.13452582987952749"/>
    <n v="1.420566666666661"/>
    <n v="20.55205491566749"/>
    <n v="178.68267483078901"/>
    <n v="-2.4732901905052201E-2"/>
    <n v="0.91844947733167381"/>
    <n v="455.28839379741731"/>
    <n v="1.4280518916890351E-2"/>
    <n v="0.1307650210831339"/>
  </r>
  <r>
    <x v="11"/>
    <s v="Cas_only"/>
    <x v="1"/>
    <x v="1"/>
    <x v="3"/>
    <n v="-1.4700810526315791"/>
    <n v="0.96834190780060547"/>
    <n v="-0.83986610914323934"/>
    <n v="6.4535677357478996E-3"/>
    <n v="5.2549473684210923E-2"/>
    <n v="4.151380760586016"/>
    <n v="130.57907531379951"/>
    <n v="-1.4358245294947549E-2"/>
    <n v="0.98227168137693588"/>
    <n v="224.01596807898611"/>
    <n v="-4.6594691203139822E-3"/>
    <n v="7.4346213895226656E-3"/>
  </r>
  <r>
    <x v="11"/>
    <s v="Cas_only"/>
    <x v="1"/>
    <x v="1"/>
    <x v="4"/>
    <n v="-3.6504777777777768"/>
    <n v="0.95688701708698343"/>
    <n v="-9.5263617767859703"/>
    <n v="0.23361220621304379"/>
    <n v="1.2526444444444409"/>
    <n v="3.4094904397383492"/>
    <n v="178.1772921360886"/>
    <n v="-2.6152529053689311E-2"/>
    <n v="0.97001509006176823"/>
    <n v="608.3248542310389"/>
    <n v="-1.845873691941206E-2"/>
    <n v="0.23380925008893561"/>
  </r>
  <r>
    <x v="11"/>
    <s v="Cas_only"/>
    <x v="1"/>
    <x v="1"/>
    <x v="5"/>
    <n v="-1.733295789473684"/>
    <n v="0.94099089167429195"/>
    <n v="0.74709525183139658"/>
    <n v="4.6597630083706756E-3"/>
    <n v="-0.21066526315789449"/>
    <n v="5.7383421215606516"/>
    <n v="136.78103646798581"/>
    <n v="-1.7017637600806011E-2"/>
    <n v="0.96468724955081775"/>
    <n v="191.71071181663231"/>
    <n v="3.388582733584384E-3"/>
    <n v="4.2836301801297827E-3"/>
  </r>
  <r>
    <x v="11"/>
    <s v="Cas_only"/>
    <x v="1"/>
    <x v="1"/>
    <x v="6"/>
    <n v="-3.3298777777777708"/>
    <n v="0.91418428485766845"/>
    <n v="-41.199957800681297"/>
    <n v="0.6669116254076739"/>
    <n v="1.5732444444444471"/>
    <n v="-28.264105584156979"/>
    <n v="169.11717319313291"/>
    <n v="-2.5004524364426229E-2"/>
    <n v="0.93109542913586107"/>
    <n v="794.00891016571541"/>
    <n v="-0.1014662687326711"/>
    <n v="0.56712584633482943"/>
  </r>
  <r>
    <x v="11"/>
    <s v="Cas_only"/>
    <x v="1"/>
    <x v="1"/>
    <x v="7"/>
    <n v="-1.298049473684211"/>
    <n v="0.92175725853431567"/>
    <n v="-8.8747788792335189"/>
    <n v="0.23103881183240341"/>
    <n v="0.2245810526315781"/>
    <n v="-3.8835320095042638"/>
    <n v="126.0696115118696"/>
    <n v="-1.29364566816659E-2"/>
    <n v="0.9415794647443898"/>
    <n v="482.27353740948422"/>
    <n v="-2.480074194251293E-2"/>
    <n v="0.21197532694305549"/>
  </r>
  <r>
    <x v="11"/>
    <s v="Cas_only"/>
    <x v="1"/>
    <x v="1"/>
    <x v="8"/>
    <n v="-3.191211111111111"/>
    <n v="0.95451262315319707"/>
    <n v="-32.807104413962499"/>
    <n v="0.69240501195331561"/>
    <n v="1.7119111111111069"/>
    <n v="-19.871252197438181"/>
    <n v="153.34563186182629"/>
    <n v="-2.6749513569539321E-2"/>
    <n v="0.96936588679852698"/>
    <n v="774.2804808190989"/>
    <n v="-8.4709052367869783E-2"/>
    <n v="0.68173290529892783"/>
  </r>
  <r>
    <x v="11"/>
    <s v="Cas_only"/>
    <x v="1"/>
    <x v="1"/>
    <x v="9"/>
    <n v="-1.4845452631578939"/>
    <n v="0.97190205802291518"/>
    <n v="-9.6050175205337975"/>
    <n v="0.35356077387097939"/>
    <n v="3.8085263157895399E-2"/>
    <n v="-4.6137706508045424"/>
    <n v="125.8561710471276"/>
    <n v="-1.5238041456350529E-2"/>
    <n v="0.98509325652005386"/>
    <n v="493.72135214033841"/>
    <n v="-4.2800488924263587E-2"/>
    <n v="0.40644646909615079"/>
  </r>
  <r>
    <x v="12"/>
    <s v="Cas_complex"/>
    <x v="0"/>
    <x v="1"/>
    <x v="0"/>
    <n v="-19.50640000000001"/>
    <n v="0.99446838520008651"/>
    <n v="-6.625279703149026"/>
    <n v="0.97737828092606771"/>
    <n v="0"/>
    <n v="0"/>
    <n v="1725.0493075661229"/>
    <n v="-1.2692263507249821E-2"/>
    <n v="0.99691323147633149"/>
    <n v="771.549850018852"/>
    <n v="-9.3790896327469106E-3"/>
    <n v="0.98175469184407749"/>
  </r>
  <r>
    <x v="12"/>
    <s v="Cas_complex"/>
    <x v="0"/>
    <x v="1"/>
    <x v="1"/>
    <n v="-16.39468789473684"/>
    <n v="0.99627179187363668"/>
    <n v="-6.9362368583005969"/>
    <n v="0.99037381195424312"/>
    <n v="0"/>
    <n v="0"/>
    <n v="2110.234867321095"/>
    <n v="-9.003347034469129E-3"/>
    <n v="0.99852526534389496"/>
    <n v="935.18071202480928"/>
    <n v="-8.5587346351436132E-3"/>
    <n v="0.99537908445021839"/>
  </r>
  <r>
    <x v="12"/>
    <s v="Cas_complex"/>
    <x v="0"/>
    <x v="1"/>
    <x v="2"/>
    <n v="-22.244044444444452"/>
    <n v="0.97010176196406284"/>
    <n v="-9.094509175419871"/>
    <n v="0.94102596468776412"/>
    <n v="-2.7376444444444421"/>
    <n v="-2.469229472270845"/>
    <n v="1814.238695881266"/>
    <n v="-1.397973570311415E-2"/>
    <n v="0.97671774548663715"/>
    <n v="819.93960842365959"/>
    <n v="-1.2516828738769831E-2"/>
    <n v="0.94986919270410208"/>
  </r>
  <r>
    <x v="12"/>
    <s v="Cas_complex"/>
    <x v="0"/>
    <x v="1"/>
    <x v="3"/>
    <n v="-16.633902631578952"/>
    <n v="0.9960963348609535"/>
    <n v="-6.7687502501272148"/>
    <n v="0.98872930013138927"/>
    <n v="-0.23921473684210781"/>
    <n v="0.1674866081733821"/>
    <n v="2043.3144797139851"/>
    <n v="-9.513563684488904E-3"/>
    <n v="0.99870049434919161"/>
    <n v="903.04273544862258"/>
    <n v="-8.6671884791249716E-3"/>
    <n v="0.9940536865303089"/>
  </r>
  <r>
    <x v="12"/>
    <s v="Cas_complex"/>
    <x v="0"/>
    <x v="1"/>
    <x v="4"/>
    <n v="-22.805088888888889"/>
    <n v="0.94749536960079028"/>
    <n v="-837.10038125109179"/>
    <n v="0.3034823136030127"/>
    <n v="-3.2986888888888828"/>
    <n v="-830.47510154794281"/>
    <n v="1798.865722784763"/>
    <n v="-1.456061378790997E-2"/>
    <n v="0.95601622770978067"/>
    <n v="10805332.562677139"/>
    <n v="-2.1067482081178341"/>
    <n v="0.98871646037393823"/>
  </r>
  <r>
    <x v="12"/>
    <s v="Cas_complex"/>
    <x v="0"/>
    <x v="1"/>
    <x v="5"/>
    <n v="-16.003746842105262"/>
    <n v="0.98811433828312178"/>
    <n v="-6.4411223730147968"/>
    <n v="0.98515600476912801"/>
    <n v="0.39094105263157891"/>
    <n v="0.49511448528579999"/>
    <n v="2005.668584811968"/>
    <n v="-9.3251662874070072E-3"/>
    <n v="0.99364739664852597"/>
    <n v="887.86388962467549"/>
    <n v="-8.3541190394036697E-3"/>
    <n v="0.99128741354309502"/>
  </r>
  <r>
    <x v="12"/>
    <s v="Cas_complex"/>
    <x v="0"/>
    <x v="1"/>
    <x v="6"/>
    <n v="-21.29388888888889"/>
    <n v="0.96447938076793527"/>
    <n v="-7.561157618337079"/>
    <n v="0.93399537047004333"/>
    <n v="-1.78748888888888"/>
    <n v="-0.93587791518805297"/>
    <n v="1739.6185777416599"/>
    <n v="-1.3922495351111759E-2"/>
    <n v="0.96914120716948771"/>
    <n v="767.62546833532303"/>
    <n v="-1.0934956530437891E-2"/>
    <n v="0.94047349557122939"/>
  </r>
  <r>
    <x v="12"/>
    <s v="Cas_complex"/>
    <x v="0"/>
    <x v="1"/>
    <x v="7"/>
    <n v="-17.18703578947369"/>
    <n v="0.99658002210241736"/>
    <n v="-6.9073582166937344"/>
    <n v="0.99559644443729689"/>
    <n v="-0.79234789473684941"/>
    <n v="2.8878641606863379E-2"/>
    <n v="2021.7046792056231"/>
    <n v="-1.0001732656629099E-2"/>
    <n v="0.99816871217847303"/>
    <n v="876.75450136031418"/>
    <n v="-9.15099160210372E-3"/>
    <n v="0.99780533632027679"/>
  </r>
  <r>
    <x v="12"/>
    <s v="Cas_complex"/>
    <x v="0"/>
    <x v="1"/>
    <x v="8"/>
    <n v="-19.21725555555556"/>
    <n v="0.98383382482944959"/>
    <n v="-4.0378799305586419"/>
    <n v="0.41980954362429418"/>
    <n v="0.28914444444444598"/>
    <n v="2.5873997725903841"/>
    <n v="1361.485620045471"/>
    <n v="-1.640973958047761E-2"/>
    <n v="0.98867202660623676"/>
    <n v="608.0227088327548"/>
    <n v="-7.2507773973770617E-3"/>
    <n v="0.42954923173024401"/>
  </r>
  <r>
    <x v="12"/>
    <s v="Cas_complex"/>
    <x v="0"/>
    <x v="1"/>
    <x v="9"/>
    <n v="-16.076682631578951"/>
    <n v="0.99209792954680653"/>
    <n v="-6.2584933611457041"/>
    <n v="0.99201641560679632"/>
    <n v="0.31800526315789313"/>
    <n v="0.67774349715489279"/>
    <n v="1955.4470477425009"/>
    <n v="-9.6368685103757016E-3"/>
    <n v="0.99569982628982034"/>
    <n v="861.36659973141536"/>
    <n v="-8.3455785200127371E-3"/>
    <n v="0.99577165254380307"/>
  </r>
  <r>
    <x v="13"/>
    <s v="Cas_complex"/>
    <x v="1"/>
    <x v="0"/>
    <x v="0"/>
    <n v="-2.444977777777777"/>
    <n v="0.96904536446182621"/>
    <n v="2.2836048817829191"/>
    <n v="1.2167645714079359E-2"/>
    <n v="0"/>
    <n v="0"/>
    <n v="127.2896288828064"/>
    <n v="-2.3877136162665409E-2"/>
    <n v="0.97568397533623452"/>
    <n v="228.01353256390769"/>
    <n v="9.9213035664354916E-3"/>
    <n v="1.319767604838917E-2"/>
  </r>
  <r>
    <x v="13"/>
    <s v="Cas_complex"/>
    <x v="1"/>
    <x v="0"/>
    <x v="1"/>
    <n v="-1.2499205263157891"/>
    <n v="0.96028493633015966"/>
    <n v="-0.35653704005410952"/>
    <n v="1.4535183747628191E-3"/>
    <n v="0"/>
    <n v="0"/>
    <n v="110.8823852788627"/>
    <n v="-1.437915778649607E-2"/>
    <n v="0.97384274744380483"/>
    <n v="163.68647153806111"/>
    <n v="-2.0219868509354219E-3"/>
    <n v="1.3055314892813641E-3"/>
  </r>
  <r>
    <x v="13"/>
    <s v="Cas_complex"/>
    <x v="1"/>
    <x v="0"/>
    <x v="2"/>
    <n v="-2.1429666666666689"/>
    <n v="0.92861499273331127"/>
    <n v="8.089340268231215"/>
    <n v="5.6282852016229623E-2"/>
    <n v="0.30201111111110812"/>
    <n v="5.8057353864482959"/>
    <n v="90.181272339489453"/>
    <n v="-3.2104048352554523E-2"/>
    <n v="0.94662962256567385"/>
    <n v="84.665521035461282"/>
    <n v="7.4731966510206485E-2"/>
    <n v="8.9981892215893144E-2"/>
  </r>
  <r>
    <x v="13"/>
    <s v="Cas_complex"/>
    <x v="1"/>
    <x v="0"/>
    <x v="3"/>
    <n v="-1.201263157894737"/>
    <n v="0.94698017862628769"/>
    <n v="-2.5015343902507161"/>
    <n v="6.223202579478071E-2"/>
    <n v="4.8657368421052727E-2"/>
    <n v="-2.144997350196606"/>
    <n v="106.46694763462349"/>
    <n v="-1.442941820289859E-2"/>
    <n v="0.96219794836028882"/>
    <n v="234.20998867080451"/>
    <n v="-1.224511402945367E-2"/>
    <n v="5.8720117607136017E-2"/>
  </r>
  <r>
    <x v="13"/>
    <s v="Cas_complex"/>
    <x v="1"/>
    <x v="0"/>
    <x v="4"/>
    <n v="-2.007000000000001"/>
    <n v="0.91530169557197782"/>
    <n v="-2.9115520495249441"/>
    <n v="1.621137668684991E-2"/>
    <n v="0.43797777777777558"/>
    <n v="-5.1951569313078636"/>
    <n v="89.108248110381126"/>
    <n v="-3.0031542002337319E-2"/>
    <n v="0.9375728285916437"/>
    <n v="290.32278361277457"/>
    <n v="-8.9294996045475999E-3"/>
    <n v="1.3319441018044159E-2"/>
  </r>
  <r>
    <x v="13"/>
    <s v="Cas_complex"/>
    <x v="1"/>
    <x v="0"/>
    <x v="5"/>
    <n v="-1.0370231578947371"/>
    <n v="0.80115267571283455"/>
    <n v="-2.096513428546213"/>
    <n v="5.1704731347298472E-2"/>
    <n v="0.21289736842105239"/>
    <n v="-1.7399763884921029"/>
    <n v="103.1319167765871"/>
    <n v="-1.263887995613589E-2"/>
    <n v="0.82251040289057531"/>
    <n v="242.90907675750731"/>
    <n v="-9.1253961873983842E-3"/>
    <n v="4.7228154464477479E-2"/>
  </r>
  <r>
    <x v="13"/>
    <s v="Cas_complex"/>
    <x v="1"/>
    <x v="0"/>
    <x v="6"/>
    <n v="-1.7354222222222251"/>
    <n v="0.89610164265726744"/>
    <n v="10.391908813456491"/>
    <n v="0.13053917295253589"/>
    <n v="0.70955555555555194"/>
    <n v="8.1083039316735679"/>
    <n v="84.771380437461673"/>
    <n v="-2.606629998557438E-2"/>
    <n v="0.9067486524916335"/>
    <n v="70.339055518823187"/>
    <n v="9.5618291590112495E-2"/>
    <n v="0.2132366755502613"/>
  </r>
  <r>
    <x v="13"/>
    <s v="Cas_complex"/>
    <x v="1"/>
    <x v="0"/>
    <x v="7"/>
    <n v="-1.1464373684210529"/>
    <n v="0.89961960110775685"/>
    <n v="-2.4311392674689181"/>
    <n v="7.3085263907087805E-2"/>
    <n v="0.1034831578947364"/>
    <n v="-2.0746022274148079"/>
    <n v="103.6428608645314"/>
    <n v="-1.42180193150331E-2"/>
    <n v="0.92165497092769477"/>
    <n v="266.62968874673231"/>
    <n v="-1.314935611184175E-2"/>
    <n v="8.5315687022089692E-2"/>
  </r>
  <r>
    <x v="13"/>
    <s v="Cas_complex"/>
    <x v="1"/>
    <x v="0"/>
    <x v="8"/>
    <n v="-1.7599888888888851"/>
    <n v="0.93831801028875739"/>
    <n v="-18.688705057208381"/>
    <n v="0.41463366350747399"/>
    <n v="0.68498888888889153"/>
    <n v="-20.972309938991302"/>
    <n v="76.998328306623037"/>
    <n v="-2.9810392430377732E-2"/>
    <n v="0.94189666123716265"/>
    <n v="388.39831103550603"/>
    <n v="-8.4167760104236738E-2"/>
    <n v="0.35791292613759551"/>
  </r>
  <r>
    <x v="13"/>
    <s v="Cas_complex"/>
    <x v="1"/>
    <x v="0"/>
    <x v="9"/>
    <n v="-1.065777368421053"/>
    <n v="0.96834052948587945"/>
    <n v="-6.2019520490510169"/>
    <n v="0.30365055293735482"/>
    <n v="0.18414315789473609"/>
    <n v="-5.8454150089969072"/>
    <n v="100.5963438842317"/>
    <n v="-1.316894688418086E-2"/>
    <n v="0.97512686507628688"/>
    <n v="331.85231045741602"/>
    <n v="-3.0915125404865001E-2"/>
    <n v="0.31110147957971601"/>
  </r>
  <r>
    <x v="14"/>
    <s v="Cas_complex"/>
    <x v="0"/>
    <x v="1"/>
    <x v="0"/>
    <n v="-18.726600000000001"/>
    <n v="0.98335441391373068"/>
    <n v="-735.40038214205549"/>
    <n v="0.20213526203031421"/>
    <n v="0"/>
    <n v="0"/>
    <n v="1751.9213897845409"/>
    <n v="-1.193914150771919E-2"/>
    <n v="0.98746491764599753"/>
    <n v="20444.155436634719"/>
    <n v="-5.773474224295095E-2"/>
    <n v="0.19672599825053971"/>
  </r>
  <r>
    <x v="14"/>
    <s v="Cas_complex"/>
    <x v="0"/>
    <x v="1"/>
    <x v="1"/>
    <n v="-12.92419052631579"/>
    <n v="0.98993868514381833"/>
    <n v="490.21444929673208"/>
    <n v="0.35178951407351428"/>
    <n v="0"/>
    <n v="0"/>
    <n v="1730.1982156729291"/>
    <n v="-8.6290794944778055E-3"/>
    <n v="0.99491037195681742"/>
    <n v="3638.9128553785249"/>
    <n v="5.055180572380092E-2"/>
    <n v="0.33212184583668269"/>
  </r>
  <r>
    <x v="14"/>
    <s v="Cas_complex"/>
    <x v="0"/>
    <x v="1"/>
    <x v="2"/>
    <n v="-21.298344444444449"/>
    <n v="0.9544818000043428"/>
    <n v="-338.43011855010587"/>
    <n v="3.70453160558748E-2"/>
    <n v="-2.5717444444444451"/>
    <n v="396.97026359194962"/>
    <n v="1895.477773935148"/>
    <n v="-1.266023482732965E-2"/>
    <n v="0.96070975463030595"/>
    <n v="15035.50212022989"/>
    <n v="-4.3321136115849077E-2"/>
    <n v="4.8931407634712383E-2"/>
  </r>
  <r>
    <x v="14"/>
    <s v="Cas_complex"/>
    <x v="0"/>
    <x v="1"/>
    <x v="3"/>
    <n v="-13.61240789473684"/>
    <n v="0.98663055888035212"/>
    <n v="406.30932871385858"/>
    <n v="0.22840890286121149"/>
    <n v="-0.68821736842105175"/>
    <n v="-83.905120582873508"/>
    <n v="1668.1951980024951"/>
    <n v="-9.5823530208697816E-3"/>
    <n v="0.9929065496122953"/>
    <n v="2091.48602567027"/>
    <n v="6.8214890510880616E-2"/>
    <n v="0.29620590688160209"/>
  </r>
  <r>
    <x v="14"/>
    <s v="Cas_complex"/>
    <x v="0"/>
    <x v="1"/>
    <x v="4"/>
    <n v="-20.70205555555555"/>
    <n v="0.96416619749368548"/>
    <n v="-785.06483867495251"/>
    <n v="0.1843520526704284"/>
    <n v="-1.9754555555555451"/>
    <n v="-49.66445653289702"/>
    <n v="1758.4805563960149"/>
    <n v="-1.3350493184322359E-2"/>
    <n v="0.97083976054373433"/>
    <n v="1.7302513014101809E-9"/>
    <n v="1.9859144372812401"/>
    <n v="-0.97908791179002352"/>
  </r>
  <r>
    <x v="14"/>
    <s v="Cas_complex"/>
    <x v="0"/>
    <x v="1"/>
    <x v="5"/>
    <n v="-14.02449684210527"/>
    <n v="0.98855114937030575"/>
    <n v="154.45732196849511"/>
    <n v="4.2323563641419197E-2"/>
    <n v="-1.1003063157894739"/>
    <n v="-335.75712732823712"/>
    <n v="1663.448720874984"/>
    <n v="-9.9579896664188493E-3"/>
    <n v="0.99470145020264256"/>
    <n v="7126.909590384862"/>
    <n v="1.9656208135344432E-2"/>
    <n v="5.411475199335658E-2"/>
  </r>
  <r>
    <x v="14"/>
    <s v="Cas_complex"/>
    <x v="0"/>
    <x v="1"/>
    <x v="6"/>
    <n v="-21.285533333333319"/>
    <n v="0.97250667452316986"/>
    <n v="-126.834061855928"/>
    <n v="0.26480464795949199"/>
    <n v="-2.558933333333322"/>
    <n v="608.56632028612751"/>
    <n v="1716.0359820904571"/>
    <n v="-1.416739332033363E-2"/>
    <n v="0.97922227290834862"/>
    <n v="15871.19641410111"/>
    <n v="-8.4665255804450782E-3"/>
    <n v="0.26008737780370661"/>
  </r>
  <r>
    <x v="14"/>
    <s v="Cas_complex"/>
    <x v="0"/>
    <x v="1"/>
    <x v="7"/>
    <n v="-12.19926473684211"/>
    <n v="0.99004710455781575"/>
    <n v="517.48268821093279"/>
    <n v="0.42413845747632722"/>
    <n v="0.72492578947368358"/>
    <n v="27.268238914200651"/>
    <n v="1638.988243916546"/>
    <n v="-8.5875466709519396E-3"/>
    <n v="0.99441864343514286"/>
    <n v="3455.4172293287879"/>
    <n v="5.1439520124184783E-2"/>
    <n v="0.36963183856877369"/>
  </r>
  <r>
    <x v="14"/>
    <s v="Cas_complex"/>
    <x v="0"/>
    <x v="1"/>
    <x v="8"/>
    <n v="-16.8279888888889"/>
    <n v="0.97011218993175197"/>
    <n v="4.7510688190411594"/>
    <n v="0.26766896868704959"/>
    <n v="1.898611111111101"/>
    <n v="740.15145096109666"/>
    <n v="1255.1108867724411"/>
    <n v="-1.548964073156554E-2"/>
    <n v="0.97660138313303546"/>
    <n v="1061.2450589235241"/>
    <n v="4.2610894834639061E-3"/>
    <n v="0.26477058473300191"/>
  </r>
  <r>
    <x v="14"/>
    <s v="Cas_complex"/>
    <x v="0"/>
    <x v="1"/>
    <x v="9"/>
    <n v="-13.049585263157899"/>
    <n v="0.98852631438197358"/>
    <n v="357.63921425724311"/>
    <n v="0.2074099813664658"/>
    <n v="-0.12539473684210381"/>
    <n v="-132.57523503948909"/>
    <n v="1603.403581933733"/>
    <n v="-9.5461075944150917E-3"/>
    <n v="0.99421141091493936"/>
    <n v="5754.8175628461204"/>
    <n v="2.930740495998602E-2"/>
    <n v="0.16313672259569739"/>
  </r>
  <r>
    <x v="15"/>
    <s v="Cas_only"/>
    <x v="0"/>
    <x v="1"/>
    <x v="0"/>
    <n v="-17.99916666666666"/>
    <n v="0.9911563646061986"/>
    <n v="131.38000262366521"/>
    <n v="0.29938909007423631"/>
    <n v="0"/>
    <n v="0"/>
    <n v="1881.3497728001371"/>
    <n v="-1.053855542991834E-2"/>
    <n v="0.99380020321314211"/>
    <n v="12853.31486415116"/>
    <n v="9.496518906726148E-3"/>
    <n v="0.3031936052082681"/>
  </r>
  <r>
    <x v="15"/>
    <s v="Cas_only"/>
    <x v="0"/>
    <x v="1"/>
    <x v="1"/>
    <n v="-11.853897894736839"/>
    <n v="0.99610491096902309"/>
    <n v="-355.90643466024108"/>
    <n v="0.20613390194149811"/>
    <n v="0"/>
    <n v="0"/>
    <n v="1658.447757009626"/>
    <n v="-8.1755978080793202E-3"/>
    <n v="0.99841129086351221"/>
    <n v="16318.652496858171"/>
    <n v="-3.5267103354818932E-2"/>
    <n v="0.1933249064743886"/>
  </r>
  <r>
    <x v="15"/>
    <s v="Cas_only"/>
    <x v="0"/>
    <x v="1"/>
    <x v="2"/>
    <n v="-15.24764444444444"/>
    <n v="0.97090802493085182"/>
    <n v="173.47040142973489"/>
    <n v="0.8930721806079015"/>
    <n v="2.7515222222222211"/>
    <n v="42.090398806069693"/>
    <n v="1680.9092102735781"/>
    <n v="-9.9591386248672597E-3"/>
    <n v="0.97527250780745078"/>
    <n v="11771.09039279601"/>
    <n v="1.30070396764017E-2"/>
    <n v="0.8872555929436865"/>
  </r>
  <r>
    <x v="15"/>
    <s v="Cas_only"/>
    <x v="0"/>
    <x v="1"/>
    <x v="3"/>
    <n v="-10.84030894736842"/>
    <n v="0.97861173458666584"/>
    <n v="-431.12180522458431"/>
    <n v="0.71694370814647101"/>
    <n v="1.0135889473684241"/>
    <n v="-75.215370564343175"/>
    <n v="1043.8951024139019"/>
    <n v="-1.2901331530667821E-2"/>
    <n v="0.98910696511165475"/>
    <n v="14216.63204225047"/>
    <n v="-7.1503111357548249E-2"/>
    <n v="0.62291967035105977"/>
  </r>
  <r>
    <x v="15"/>
    <s v="Cas_only"/>
    <x v="0"/>
    <x v="1"/>
    <x v="4"/>
    <n v="-14.486866666666669"/>
    <n v="0.99675866711549366"/>
    <n v="61.305901139094928"/>
    <n v="0.78656861750256546"/>
    <n v="3.5122999999999909"/>
    <n v="-70.074101484570278"/>
    <n v="1106.579518773465"/>
    <n v="-1.497603138366157E-2"/>
    <n v="0.99808878281581148"/>
    <n v="7846.4571756353716"/>
    <n v="7.2914743966072514E-3"/>
    <n v="0.78413929385471526"/>
  </r>
  <r>
    <x v="15"/>
    <s v="Cas_only"/>
    <x v="0"/>
    <x v="1"/>
    <x v="5"/>
    <n v="-10.68255368421053"/>
    <n v="0.98078944792945255"/>
    <n v="-352.52698782810103"/>
    <n v="0.63065974688746096"/>
    <n v="1.1713442105263181"/>
    <n v="3.3794468321401041"/>
    <n v="1022.792272270588"/>
    <n v="-1.294673167538647E-2"/>
    <n v="0.98827853955299172"/>
    <n v="15498.858787664991"/>
    <n v="-0.121712552871151"/>
    <n v="0.7497203342350367"/>
  </r>
  <r>
    <x v="15"/>
    <s v="Cas_only"/>
    <x v="0"/>
    <x v="1"/>
    <x v="6"/>
    <n v="-17.80005555555557"/>
    <n v="0.97563728561840768"/>
    <n v="-531.27147768629595"/>
    <n v="0.44611109615199379"/>
    <n v="0.1991111111110975"/>
    <n v="-662.65148030996113"/>
    <n v="1169.019681180625"/>
    <n v="-1.79838887398183E-2"/>
    <n v="0.982394901203127"/>
    <n v="11541.24143550539"/>
    <n v="-6.4451464046261675E-2"/>
    <n v="0.35894069869564138"/>
  </r>
  <r>
    <x v="15"/>
    <s v="Cas_only"/>
    <x v="0"/>
    <x v="1"/>
    <x v="7"/>
    <n v="-8.9741768421052655"/>
    <n v="0.99498504821356426"/>
    <n v="-396.34020922268371"/>
    <n v="0.70546846507423377"/>
    <n v="2.8797210526315768"/>
    <n v="-40.433774562442579"/>
    <n v="981.28121300298312"/>
    <n v="-1.093802801660591E-2"/>
    <n v="0.99829062129610346"/>
    <n v="14320.54192875101"/>
    <n v="-9.0239196473988023E-2"/>
    <n v="0.69308829943141115"/>
  </r>
  <r>
    <x v="15"/>
    <s v="Cas_only"/>
    <x v="0"/>
    <x v="1"/>
    <x v="8"/>
    <n v="-10.82202222222223"/>
    <n v="0.98997417974901547"/>
    <n v="-961.45477850605312"/>
    <n v="0.74192037772708053"/>
    <n v="7.1771444444444326"/>
    <n v="-1092.8347811297181"/>
    <n v="794.53619302262598"/>
    <n v="-1.5725006018465892E-2"/>
    <n v="0.99389358043219089"/>
    <n v="19644.139982721412"/>
    <n v="-0.18164241496451791"/>
    <n v="0.68674123761342787"/>
  </r>
  <r>
    <x v="15"/>
    <s v="Cas_only"/>
    <x v="0"/>
    <x v="1"/>
    <x v="9"/>
    <n v="-11.09428105263158"/>
    <n v="0.98860278551100078"/>
    <n v="33.853283611604432"/>
    <n v="0.2330200135289883"/>
    <n v="0.75961684210526137"/>
    <n v="389.75971827184549"/>
    <n v="1256.7922589061809"/>
    <n v="-1.050766049859748E-2"/>
    <n v="0.99385292148064031"/>
    <n v="536.87757707746732"/>
    <n v="3.5277477295803189E-2"/>
    <n v="0.24450583465927589"/>
  </r>
  <r>
    <x v="16"/>
    <s v="Cas_complex"/>
    <x v="0"/>
    <x v="0"/>
    <x v="0"/>
    <n v="-21.021000000000001"/>
    <n v="0.97859784869049826"/>
    <n v="47.826495747992631"/>
    <n v="0.68772040387742717"/>
    <n v="0"/>
    <n v="0"/>
    <n v="2014.186442760192"/>
    <n v="-1.1634758777967521E-2"/>
    <n v="0.98345955481672354"/>
    <n v="11274.208868978119"/>
    <n v="4.0830004572820801E-3"/>
    <n v="0.68679150736741001"/>
  </r>
  <r>
    <x v="16"/>
    <s v="Cas_complex"/>
    <x v="0"/>
    <x v="0"/>
    <x v="1"/>
    <n v="-12.957963684210529"/>
    <n v="0.98050888930081725"/>
    <n v="-344.31812036496382"/>
    <n v="0.29226108875515511"/>
    <n v="0"/>
    <n v="0"/>
    <n v="1875.4478710980609"/>
    <n v="-7.8957231024202462E-3"/>
    <n v="0.98622628361884079"/>
    <n v="15666.36717393807"/>
    <n v="-3.8399559425229123E-2"/>
    <n v="0.28836236494224349"/>
  </r>
  <r>
    <x v="16"/>
    <s v="Cas_complex"/>
    <x v="0"/>
    <x v="0"/>
    <x v="2"/>
    <n v="-25.47036666666666"/>
    <n v="0.96617287664828644"/>
    <n v="105.27457639781611"/>
    <n v="0.93856920533201027"/>
    <n v="-4.4493666666666662"/>
    <n v="57.448080649823467"/>
    <n v="2093.5037290388168"/>
    <n v="-1.385711459873167E-2"/>
    <n v="0.97275287972561497"/>
    <n v="10612.77657914721"/>
    <n v="9.1084422941913202E-3"/>
    <n v="0.93600941321798237"/>
  </r>
  <r>
    <x v="16"/>
    <s v="Cas_complex"/>
    <x v="0"/>
    <x v="0"/>
    <x v="3"/>
    <n v="-13.023041578947369"/>
    <n v="0.98514401260833639"/>
    <n v="-24.833472298269051"/>
    <n v="5.6780823287185811E-3"/>
    <n v="-6.5077894736838005E-2"/>
    <n v="319.48464806669472"/>
    <n v="1844.110665115807"/>
    <n v="-8.0928273907989352E-3"/>
    <n v="0.99057000023831965"/>
    <n v="12587.126887698871"/>
    <n v="-1.9525724273302379E-3"/>
    <n v="5.4429600999017502E-3"/>
  </r>
  <r>
    <x v="16"/>
    <s v="Cas_complex"/>
    <x v="0"/>
    <x v="0"/>
    <x v="4"/>
    <n v="-24.494366666666679"/>
    <n v="0.96121629396543029"/>
    <n v="-312.32719800125437"/>
    <n v="0.1142754264184143"/>
    <n v="-3.4733666666666809"/>
    <n v="-360.15369374924711"/>
    <n v="2027.0278555766561"/>
    <n v="-1.375765525884565E-2"/>
    <n v="0.96822074477550857"/>
    <n v="13815.88339320116"/>
    <n v="-2.7157345640481851E-2"/>
    <n v="0.1081857786121079"/>
  </r>
  <r>
    <x v="16"/>
    <s v="Cas_complex"/>
    <x v="0"/>
    <x v="0"/>
    <x v="5"/>
    <n v="-12.086455789473691"/>
    <n v="0.98868411467410999"/>
    <n v="-390.54966491761331"/>
    <n v="0.3666093417405103"/>
    <n v="0.8715078947368422"/>
    <n v="-46.231544552649552"/>
    <n v="1838.4506217571909"/>
    <n v="-7.4426049267282534E-3"/>
    <n v="0.9922873667970179"/>
    <n v="16691.798063733549"/>
    <n v="-3.2574494968611922E-2"/>
    <n v="0.30886691963509078"/>
  </r>
  <r>
    <x v="16"/>
    <s v="Cas_complex"/>
    <x v="0"/>
    <x v="0"/>
    <x v="6"/>
    <n v="-22.158899999999999"/>
    <n v="0.9629221539298044"/>
    <n v="101.0552022320696"/>
    <n v="0.81437823408584009"/>
    <n v="-1.137900000000005"/>
    <n v="53.22870648407693"/>
    <n v="1947.5078021012951"/>
    <n v="-1.2842966047354871E-2"/>
    <n v="0.96939864892333549"/>
    <n v="11521.027378889979"/>
    <n v="8.1102277822757435E-3"/>
    <n v="0.8104020791265143"/>
  </r>
  <r>
    <x v="16"/>
    <s v="Cas_complex"/>
    <x v="0"/>
    <x v="0"/>
    <x v="7"/>
    <n v="-12.09551263157895"/>
    <n v="0.97779244618322481"/>
    <n v="-475.07106301114032"/>
    <n v="0.43284229014976161"/>
    <n v="0.86245105263158095"/>
    <n v="-130.75294264617659"/>
    <n v="1735.5472837502759"/>
    <n v="-7.9858394452019966E-3"/>
    <n v="0.98474699686717515"/>
    <n v="18153.612983565319"/>
    <n v="-5.5589662176557461E-2"/>
    <n v="0.41179220189289162"/>
  </r>
  <r>
    <x v="16"/>
    <s v="Cas_complex"/>
    <x v="0"/>
    <x v="0"/>
    <x v="8"/>
    <n v="-19.588300000000011"/>
    <n v="0.95460733777044149"/>
    <n v="-489.57515204237973"/>
    <n v="0.2131475190196164"/>
    <n v="1.4326999999999901"/>
    <n v="-537.40164779037241"/>
    <n v="1481.7374446697511"/>
    <n v="-1.527960752231638E-2"/>
    <n v="0.96319067790171453"/>
    <n v="16423.322304326612"/>
    <n v="-3.426717278450378E-2"/>
    <n v="0.18108798264080131"/>
  </r>
  <r>
    <x v="16"/>
    <s v="Cas_complex"/>
    <x v="0"/>
    <x v="0"/>
    <x v="9"/>
    <n v="-11.68303473684211"/>
    <n v="0.9795501995823912"/>
    <n v="-417.10495654070792"/>
    <n v="0.4024835144732446"/>
    <n v="1.2749289473684211"/>
    <n v="-72.786836175744099"/>
    <n v="1730.122614929079"/>
    <n v="-7.6958815727187361E-3"/>
    <n v="0.98571427286731805"/>
    <n v="17115.461634146479"/>
    <n v="-3.4275062521222033E-2"/>
    <n v="0.3339100013647871"/>
  </r>
  <r>
    <x v="17"/>
    <s v="Cas_only"/>
    <x v="1"/>
    <x v="1"/>
    <x v="0"/>
    <n v="-3.1992444444444459"/>
    <n v="0.97735199254405336"/>
    <n v="-6.7493073289313479"/>
    <n v="4.7293079081602518E-2"/>
    <n v="0"/>
    <n v="0"/>
    <n v="201.1315193929608"/>
    <n v="-1.8924846251276571E-2"/>
    <n v="0.98325847927615029"/>
    <n v="397.53086859558982"/>
    <n v="-2.0062918737534019E-2"/>
    <n v="4.6698671392061297E-2"/>
  </r>
  <r>
    <x v="17"/>
    <s v="Cas_only"/>
    <x v="1"/>
    <x v="1"/>
    <x v="1"/>
    <n v="-2.1779515789473689"/>
    <n v="0.98301891674166164"/>
    <n v="-0.81963934253658322"/>
    <n v="4.0393307123655084E-3"/>
    <n v="0"/>
    <n v="0"/>
    <n v="189.69645373880721"/>
    <n v="-1.4595440173483781E-2"/>
    <n v="0.99031535959587491"/>
    <n v="366.80434792721269"/>
    <n v="-2.5157337054888739E-3"/>
    <n v="4.3650773008359067E-3"/>
  </r>
  <r>
    <x v="17"/>
    <s v="Cas_only"/>
    <x v="1"/>
    <x v="1"/>
    <x v="2"/>
    <n v="-3.4003444444444479"/>
    <n v="0.94432216875760344"/>
    <n v="-14.593405825231249"/>
    <n v="0.31389964075765131"/>
    <n v="-0.20110000000000211"/>
    <n v="-7.8440984962998996"/>
    <n v="179.97854573719329"/>
    <n v="-2.3597722015488862E-2"/>
    <n v="0.95758694432037916"/>
    <n v="480.50105907271688"/>
    <n v="-3.8533676004928907E-2"/>
    <n v="0.28473150826017579"/>
  </r>
  <r>
    <x v="17"/>
    <s v="Cas_only"/>
    <x v="1"/>
    <x v="1"/>
    <x v="3"/>
    <n v="-2.0765847368421051"/>
    <n v="0.97080088920337182"/>
    <n v="-4.6147684744390549"/>
    <n v="8.9472394413838918E-2"/>
    <n v="0.1013668421052643"/>
    <n v="-3.7951291319024718"/>
    <n v="181.2875268931991"/>
    <n v="-1.467231028244404E-2"/>
    <n v="0.98418243429130914"/>
    <n v="430.69611584259383"/>
    <n v="-1.344670581580917E-2"/>
    <n v="9.0637922199334642E-2"/>
  </r>
  <r>
    <x v="17"/>
    <s v="Cas_only"/>
    <x v="1"/>
    <x v="1"/>
    <x v="4"/>
    <n v="-3.308822222222219"/>
    <n v="0.91802292309923461"/>
    <n v="12.59017412483019"/>
    <n v="0.31208860931278259"/>
    <n v="-0.10957777777777269"/>
    <n v="19.33948145376154"/>
    <n v="177.2556773805594"/>
    <n v="-2.330707616904551E-2"/>
    <n v="0.93289697438931185"/>
    <n v="250.5496457884469"/>
    <n v="3.5901195785183221E-2"/>
    <n v="0.3109478481923984"/>
  </r>
  <r>
    <x v="17"/>
    <s v="Cas_only"/>
    <x v="1"/>
    <x v="1"/>
    <x v="5"/>
    <n v="-2.0280015789473689"/>
    <n v="0.97997755042002721"/>
    <n v="-8.727518309308083"/>
    <n v="0.31559322539484991"/>
    <n v="0.14994999999999961"/>
    <n v="-7.9078789667714986"/>
    <n v="182.57370095621661"/>
    <n v="-1.4030815246117561E-2"/>
    <n v="0.98955539821903582"/>
    <n v="491.70512409919019"/>
    <n v="-2.4047741413252999E-2"/>
    <n v="0.29433792384538082"/>
  </r>
  <r>
    <x v="17"/>
    <s v="Cas_only"/>
    <x v="1"/>
    <x v="1"/>
    <x v="6"/>
    <n v="-3.332933333333338"/>
    <n v="0.96983672008381283"/>
    <n v="-4.5526047740390316"/>
    <n v="0.98907778552563641"/>
    <n v="-0.13368888888889249"/>
    <n v="2.1967025548923158"/>
    <n v="178.52798819300679"/>
    <n v="-2.3081122607029391E-2"/>
    <n v="0.97785341426499284"/>
    <n v="321.69427180251762"/>
    <n v="-1.6455665225283349E-2"/>
    <n v="0.99373214507014807"/>
  </r>
  <r>
    <x v="17"/>
    <s v="Cas_only"/>
    <x v="1"/>
    <x v="1"/>
    <x v="7"/>
    <n v="-2.0130142105263151"/>
    <n v="0.97619498969939755"/>
    <n v="-1.6414232949405529"/>
    <n v="1.312584833959507E-2"/>
    <n v="0.16493736842105419"/>
    <n v="-0.82178395240396995"/>
    <n v="182.67525906038381"/>
    <n v="-1.388472800376998E-2"/>
    <n v="0.98542205536296612"/>
    <n v="394.86456201443389"/>
    <n v="-5.0281354299731244E-3"/>
    <n v="1.4628475944708169E-2"/>
  </r>
  <r>
    <x v="17"/>
    <s v="Cas_only"/>
    <x v="1"/>
    <x v="1"/>
    <x v="8"/>
    <n v="-3.0808111111111121"/>
    <n v="0.90798747960070691"/>
    <n v="-9.3434720683501649"/>
    <n v="0.58623184603936851"/>
    <n v="0.11843333333333431"/>
    <n v="-2.594164739418817"/>
    <n v="160.37764676669059"/>
    <n v="-2.4343693528933692E-2"/>
    <n v="0.92820001579764688"/>
    <n v="333.24297605318299"/>
    <n v="-3.562391652792838E-2"/>
    <n v="0.54493812051700674"/>
  </r>
  <r>
    <x v="17"/>
    <s v="Cas_only"/>
    <x v="1"/>
    <x v="1"/>
    <x v="9"/>
    <n v="-1.8585152631578929"/>
    <n v="0.96566681979297253"/>
    <n v="0.89154433140407618"/>
    <n v="8.3104036940784276E-3"/>
    <n v="0.31943631578947568"/>
    <n v="1.711183673940659"/>
    <n v="182.4941890529698"/>
    <n v="-1.261840761075305E-2"/>
    <n v="0.97766699098618726"/>
    <n v="353.94284948786782"/>
    <n v="2.4451260135017528E-3"/>
    <n v="8.3993389852662359E-3"/>
  </r>
  <r>
    <x v="18"/>
    <s v="Cas_only"/>
    <x v="1"/>
    <x v="1"/>
    <x v="0"/>
    <n v="-2.4498555555555561"/>
    <n v="0.94531579351225425"/>
    <n v="-8.1907639620213075"/>
    <n v="7.2674824628460644E-2"/>
    <n v="0"/>
    <n v="0"/>
    <n v="136.12354352805181"/>
    <n v="-2.2216053288800761E-2"/>
    <n v="0.9589053973689261"/>
    <n v="351.16527859988048"/>
    <n v="-3.0423566245731601E-2"/>
    <n v="7.2528414839387212E-2"/>
  </r>
  <r>
    <x v="18"/>
    <s v="Cas_only"/>
    <x v="1"/>
    <x v="1"/>
    <x v="1"/>
    <n v="-1.347986842105263"/>
    <n v="0.96062669369798837"/>
    <n v="-9.7847937011262829"/>
    <n v="0.40232727595125778"/>
    <n v="0"/>
    <n v="0"/>
    <n v="122.9457149807146"/>
    <n v="-1.385111308860669E-2"/>
    <n v="0.97278988480375594"/>
    <n v="460.33531713980511"/>
    <n v="-4.3005483847097167E-2"/>
    <n v="0.42492178053862018"/>
  </r>
  <r>
    <x v="18"/>
    <s v="Cas_only"/>
    <x v="1"/>
    <x v="1"/>
    <x v="2"/>
    <n v="-3.642255555555562"/>
    <n v="0.9385670042158778"/>
    <n v="-23.501556625124021"/>
    <n v="0.53126539802882233"/>
    <n v="-1.1924000000000059"/>
    <n v="-15.31079266310271"/>
    <n v="171.34160404886211"/>
    <n v="-2.7628015363376311E-2"/>
    <n v="0.95651824284958031"/>
    <n v="623.26415279642856"/>
    <n v="-8.0104724049035514E-2"/>
    <n v="0.57184968920234081"/>
  </r>
  <r>
    <x v="18"/>
    <s v="Cas_only"/>
    <x v="1"/>
    <x v="1"/>
    <x v="3"/>
    <n v="-1.3960263157894739"/>
    <n v="0.95279320432089198"/>
    <n v="-8.7038469275787307"/>
    <n v="0.69445733929179565"/>
    <n v="-4.8039473684210243E-2"/>
    <n v="1.080946773547552"/>
    <n v="120.1475927436436"/>
    <n v="-1.5013350618705261E-2"/>
    <n v="0.96924540451062757"/>
    <n v="430.08615580066049"/>
    <n v="-2.8263585308288638E-2"/>
    <n v="0.62611896062854278"/>
  </r>
  <r>
    <x v="18"/>
    <s v="Cas_only"/>
    <x v="1"/>
    <x v="1"/>
    <x v="4"/>
    <n v="-3.5633111111111111"/>
    <n v="0.94659728024109702"/>
    <n v="-16.34931189946467"/>
    <n v="0.35982106120065538"/>
    <n v="-1.113455555555555"/>
    <n v="-8.158547937443366"/>
    <n v="171.09377810207161"/>
    <n v="-2.6834316514302538E-2"/>
    <n v="0.96294127110854111"/>
    <n v="504.69032996017921"/>
    <n v="-5.8194516128022643E-2"/>
    <n v="0.39297725327258731"/>
  </r>
  <r>
    <x v="18"/>
    <s v="Cas_only"/>
    <x v="1"/>
    <x v="1"/>
    <x v="5"/>
    <n v="-1.504413157894738"/>
    <n v="0.92744317145140209"/>
    <n v="-7.1636426271979516"/>
    <n v="0.2643115221346789"/>
    <n v="-0.1564263157894743"/>
    <n v="2.6211510739283308"/>
    <n v="122.3536094246617"/>
    <n v="-1.61432173608545E-2"/>
    <n v="0.94211929668453642"/>
    <n v="394.16817102984118"/>
    <n v="-2.4063441795002301E-2"/>
    <n v="0.2409829096676889"/>
  </r>
  <r>
    <x v="18"/>
    <s v="Cas_only"/>
    <x v="1"/>
    <x v="1"/>
    <x v="6"/>
    <n v="-3.2414444444444439"/>
    <n v="0.92766666376424123"/>
    <n v="-16.748739633769649"/>
    <n v="0.32592175928774397"/>
    <n v="-0.79158888888888823"/>
    <n v="-8.5579756717483448"/>
    <n v="163.98394692169401"/>
    <n v="-2.5026183173744141E-2"/>
    <n v="0.94178638830770078"/>
    <n v="486.03479346270677"/>
    <n v="-6.6058420528739129E-2"/>
    <n v="0.35433926667040683"/>
  </r>
  <r>
    <x v="18"/>
    <s v="Cas_only"/>
    <x v="1"/>
    <x v="1"/>
    <x v="7"/>
    <n v="-1.443336842105263"/>
    <n v="0.9590063462633629"/>
    <n v="-5.3000932259965774"/>
    <n v="0.19540208405473311"/>
    <n v="-9.534999999999938E-2"/>
    <n v="4.4847004751297046"/>
    <n v="121.4228172133533"/>
    <n v="-1.547835134685599E-2"/>
    <n v="0.9761148583554492"/>
    <n v="333.7461321324663"/>
    <n v="-2.826869751972055E-2"/>
    <n v="0.2245038512871832"/>
  </r>
  <r>
    <x v="18"/>
    <s v="Cas_only"/>
    <x v="1"/>
    <x v="1"/>
    <x v="8"/>
    <n v="-3.4705888888888898"/>
    <n v="0.93324273018984671"/>
    <n v="-9.9079412345448183"/>
    <n v="0.12513567602276579"/>
    <n v="-1.0207333333333339"/>
    <n v="-1.717177272523511"/>
    <n v="154.96896253235681"/>
    <n v="-2.9634776911793871E-2"/>
    <n v="0.95176939539149541"/>
    <n v="401.46064586739527"/>
    <n v="-4.9498608578183091E-2"/>
    <n v="0.16444079254176339"/>
  </r>
  <r>
    <x v="18"/>
    <s v="Cas_only"/>
    <x v="1"/>
    <x v="1"/>
    <x v="9"/>
    <n v="-1.403843157894737"/>
    <n v="0.96946779205326672"/>
    <n v="-3.6522296124728011"/>
    <n v="0.12170430868390721"/>
    <n v="-5.5856315789473372E-2"/>
    <n v="6.1325640886534822"/>
    <n v="119.69228143149201"/>
    <n v="-1.5126547146169711E-2"/>
    <n v="0.98265644269075303"/>
    <n v="308.26695256402093"/>
    <n v="-1.5030430938317329E-2"/>
    <n v="0.1214141182809855"/>
  </r>
  <r>
    <x v="19"/>
    <s v="Cas_complex"/>
    <x v="0"/>
    <x v="1"/>
    <x v="0"/>
    <n v="-26.21638888888889"/>
    <n v="0.96424700240078565"/>
    <n v="-15.17380699157532"/>
    <n v="0.95542866797581283"/>
    <n v="0"/>
    <n v="0"/>
    <n v="2213.4316701824009"/>
    <n v="-1.345868050214493E-2"/>
    <n v="0.97196350733191927"/>
    <n v="1137.384760978993"/>
    <n v="-1.54652344365381E-2"/>
    <n v="0.96531780997542804"/>
  </r>
  <r>
    <x v="19"/>
    <s v="Cas_complex"/>
    <x v="0"/>
    <x v="1"/>
    <x v="1"/>
    <n v="-14.40442947368421"/>
    <n v="0.98787345661456571"/>
    <n v="-7.3937304169944422"/>
    <n v="0.98435220332131435"/>
    <n v="0"/>
    <n v="0"/>
    <n v="2030.32637560835"/>
    <n v="-8.1347488162131186E-3"/>
    <n v="0.99322149405037496"/>
    <n v="1019.6503267757211"/>
    <n v="-8.3546102674171546E-3"/>
    <n v="0.99100744529518314"/>
  </r>
  <r>
    <x v="19"/>
    <s v="Cas_complex"/>
    <x v="0"/>
    <x v="1"/>
    <x v="2"/>
    <n v="-24.167766666666669"/>
    <n v="0.9504127059555979"/>
    <n v="-17.263221969628269"/>
    <n v="0.87322260692944964"/>
    <n v="2.0486222222222139"/>
    <n v="-2.0894149780529472"/>
    <n v="2164.1674965813631"/>
    <n v="-1.258085072628656E-2"/>
    <n v="0.95717667950659302"/>
    <n v="1171.483692537498"/>
    <n v="-1.751427916772498E-2"/>
    <n v="0.88839106869968221"/>
  </r>
  <r>
    <x v="19"/>
    <s v="Cas_complex"/>
    <x v="0"/>
    <x v="1"/>
    <x v="3"/>
    <n v="-15.85406947368422"/>
    <n v="0.96021524705661965"/>
    <n v="4.5810658319631994"/>
    <n v="0.15693221904457511"/>
    <n v="-1.449640000000002"/>
    <n v="11.97479624895764"/>
    <n v="1866.7073771202749"/>
    <n v="-1.0129315704760561E-2"/>
    <n v="0.97299723543016814"/>
    <n v="1179.6371580447169"/>
    <n v="3.6873402324078949E-3"/>
    <n v="0.15841158238642869"/>
  </r>
  <r>
    <x v="19"/>
    <s v="Cas_complex"/>
    <x v="0"/>
    <x v="1"/>
    <x v="4"/>
    <n v="-24.770666666666671"/>
    <n v="0.938342954508255"/>
    <n v="-43.298087756647043"/>
    <n v="0.77501980987609764"/>
    <n v="1.4457222222222159"/>
    <n v="-28.12428076507172"/>
    <n v="2148.0380914423531"/>
    <n v="-1.3060264861930321E-2"/>
    <n v="0.94600748424889758"/>
    <n v="1614.059283200364"/>
    <n v="-3.965074335084539E-2"/>
    <n v="0.81102696720763534"/>
  </r>
  <r>
    <x v="19"/>
    <s v="Cas_complex"/>
    <x v="0"/>
    <x v="1"/>
    <x v="5"/>
    <n v="-14.044426315789471"/>
    <n v="0.98469877371590375"/>
    <n v="-3.100322374130418"/>
    <n v="0.34918894603729572"/>
    <n v="0.3600031578947398"/>
    <n v="4.2934080428640247"/>
    <n v="1958.1477612829101"/>
    <n v="-8.2438377687236979E-3"/>
    <n v="0.99070766900915241"/>
    <n v="1489.8193418060159"/>
    <n v="-2.1206174428309199E-3"/>
    <n v="0.34371207237156648"/>
  </r>
  <r>
    <x v="19"/>
    <s v="Cas_complex"/>
    <x v="0"/>
    <x v="1"/>
    <x v="6"/>
    <n v="-27.138211111111119"/>
    <n v="0.95547618063668882"/>
    <n v="-41.275275679100822"/>
    <n v="0.63324878174739463"/>
    <n v="-0.92182222222223231"/>
    <n v="-26.1014686875255"/>
    <n v="2145.0426883258742"/>
    <n v="-1.451147255191965E-2"/>
    <n v="0.96321650622488419"/>
    <n v="1505.8263276806699"/>
    <n v="-4.3238595773527559E-2"/>
    <n v="0.68532426217576503"/>
  </r>
  <r>
    <x v="19"/>
    <s v="Cas_complex"/>
    <x v="0"/>
    <x v="1"/>
    <x v="7"/>
    <n v="-15.1434052631579"/>
    <n v="0.98930012344302409"/>
    <n v="-8.5065617880205853"/>
    <n v="0.97631421635060922"/>
    <n v="-0.73897578947368103"/>
    <n v="-1.112831371026143"/>
    <n v="2011.3348820404669"/>
    <n v="-8.707610068513465E-3"/>
    <n v="0.99417978085255454"/>
    <n v="1037.2540217960559"/>
    <n v="-9.6684597565929939E-3"/>
    <n v="0.98502569102899074"/>
  </r>
  <r>
    <x v="19"/>
    <s v="Cas_complex"/>
    <x v="0"/>
    <x v="1"/>
    <x v="8"/>
    <n v="-22.394966666666669"/>
    <n v="0.95161822169760868"/>
    <n v="-12.696273847152829"/>
    <n v="0.882884511398769"/>
    <n v="3.8214222222222181"/>
    <n v="2.4775331444224911"/>
    <n v="1703.560268777491"/>
    <n v="-1.5174792407939799E-2"/>
    <n v="0.95981589559256508"/>
    <n v="896.92860605087913"/>
    <n v="-1.669854036547698E-2"/>
    <n v="0.89793826186483749"/>
  </r>
  <r>
    <x v="19"/>
    <s v="Cas_complex"/>
    <x v="0"/>
    <x v="1"/>
    <x v="9"/>
    <n v="-12.885947894736841"/>
    <n v="0.98559021405938707"/>
    <n v="-6.9615171254149706"/>
    <n v="0.98435468746777199"/>
    <n v="1.51848157894737"/>
    <n v="0.43221329157947069"/>
    <n v="1958.326599827267"/>
    <n v="-7.461580571837767E-3"/>
    <n v="0.99052649628551215"/>
    <n v="1018.48818187214"/>
    <n v="-7.7981600057852119E-3"/>
    <n v="0.99000639209720653"/>
  </r>
  <r>
    <x v="20"/>
    <s v="Cas_complex"/>
    <x v="0"/>
    <x v="1"/>
    <x v="0"/>
    <n v="-20.733488888888871"/>
    <n v="0.97331751040430714"/>
    <n v="-6.94434483896109"/>
    <n v="0.97176266450768034"/>
    <n v="0"/>
    <n v="0"/>
    <n v="1798.2839189865631"/>
    <n v="-1.303277466199348E-2"/>
    <n v="0.97965392797726736"/>
    <n v="789.5627008297879"/>
    <n v="-9.635408336810241E-3"/>
    <n v="0.97682539596404783"/>
  </r>
  <r>
    <x v="20"/>
    <s v="Cas_complex"/>
    <x v="0"/>
    <x v="1"/>
    <x v="1"/>
    <n v="-11.399870526315789"/>
    <n v="0.98707753811282528"/>
    <n v="-7.2166250403028744"/>
    <n v="0.83819842139487655"/>
    <n v="0"/>
    <n v="0"/>
    <n v="1635.255853947895"/>
    <n v="-7.9732558258929272E-3"/>
    <n v="0.99246080223501976"/>
    <n v="762.46444296072218"/>
    <n v="-1.15061264496339E-2"/>
    <n v="0.84750774475623036"/>
  </r>
  <r>
    <x v="20"/>
    <s v="Cas_complex"/>
    <x v="0"/>
    <x v="1"/>
    <x v="2"/>
    <n v="-20.607088888888882"/>
    <n v="0.9502746159437967"/>
    <n v="-7.0972988394119714"/>
    <n v="0.94680883612731337"/>
    <n v="0.12639999999999321"/>
    <n v="-0.15295400045088139"/>
    <n v="1810.632994019639"/>
    <n v="-1.286476194385216E-2"/>
    <n v="0.95784063232822847"/>
    <n v="793.07617158019843"/>
    <n v="-9.8317450237738503E-3"/>
    <n v="0.95276198548558155"/>
  </r>
  <r>
    <x v="20"/>
    <s v="Cas_complex"/>
    <x v="0"/>
    <x v="1"/>
    <x v="3"/>
    <n v="-13.594793684210529"/>
    <n v="0.98653512833115298"/>
    <n v="-7.3295578464598243"/>
    <n v="0.9136092448473857"/>
    <n v="-2.1949231578947379"/>
    <n v="-0.11293280615694989"/>
    <n v="1664.8945513509279"/>
    <n v="-9.5913289875034311E-3"/>
    <n v="0.99291329226748515"/>
    <n v="774.28146508244151"/>
    <n v="-1.1218275420605221E-2"/>
    <n v="0.90431665648333803"/>
  </r>
  <r>
    <x v="20"/>
    <s v="Cas_complex"/>
    <x v="0"/>
    <x v="1"/>
    <x v="4"/>
    <n v="-20.78381111111111"/>
    <n v="0.94122099715618568"/>
    <n v="-7.1194315351532662"/>
    <n v="0.91260305632083671"/>
    <n v="-5.0322222222238373E-2"/>
    <n v="-0.17508669619217621"/>
    <n v="1761.0401765480131"/>
    <n v="-1.3412798652767269E-2"/>
    <n v="0.94925401513685714"/>
    <n v="780.05680073704048"/>
    <n v="-1.0070802179290701E-2"/>
    <n v="0.92039433043194374"/>
  </r>
  <r>
    <x v="20"/>
    <s v="Cas_complex"/>
    <x v="0"/>
    <x v="1"/>
    <x v="5"/>
    <n v="-11.42411578947369"/>
    <n v="0.98749887984395235"/>
    <n v="-7.1608220229664914"/>
    <n v="0.84044069310654157"/>
    <n v="-2.4245263157894211E-2"/>
    <n v="5.5803017336383931E-2"/>
    <n v="1631.296900671565"/>
    <n v="-8.0057218960593521E-3"/>
    <n v="0.99187561389178613"/>
    <n v="761.74425243719179"/>
    <n v="-1.1405340370737449E-2"/>
    <n v="0.84942672654817952"/>
  </r>
  <r>
    <x v="20"/>
    <s v="Cas_complex"/>
    <x v="0"/>
    <x v="1"/>
    <x v="6"/>
    <n v="-19.78016666666668"/>
    <n v="0.96306079820556834"/>
    <n v="-6.9656289528262922"/>
    <n v="0.91354576976435931"/>
    <n v="0.95332222222219798"/>
    <n v="-2.128411386520224E-2"/>
    <n v="1706.2842981039739"/>
    <n v="-1.3118583680913161E-2"/>
    <n v="0.96966643932436447"/>
    <n v="762.20268369997939"/>
    <n v="-1.0087248643061691E-2"/>
    <n v="0.92150467599866492"/>
  </r>
  <r>
    <x v="20"/>
    <s v="Cas_complex"/>
    <x v="0"/>
    <x v="1"/>
    <x v="7"/>
    <n v="-11.09944210526316"/>
    <n v="0.9810879816830842"/>
    <n v="-6.8836993845823793"/>
    <n v="0.83726066693170675"/>
    <n v="0.3004284210526329"/>
    <n v="0.33292565572049521"/>
    <n v="1603.441017723334"/>
    <n v="-7.9129667110673964E-3"/>
    <n v="0.98683383724928042"/>
    <n v="747.93361491040457"/>
    <n v="-1.1125740819708709E-2"/>
    <n v="0.84681615209312766"/>
  </r>
  <r>
    <x v="20"/>
    <s v="Cas_complex"/>
    <x v="0"/>
    <x v="1"/>
    <x v="8"/>
    <n v="-16.250144444444441"/>
    <n v="0.98551935127975754"/>
    <n v="15.24879962046206"/>
    <n v="0.2196723745342217"/>
    <n v="4.4833444444444339"/>
    <n v="22.193144459423149"/>
    <n v="1222.875160336218"/>
    <n v="-1.5293712612223259E-2"/>
    <n v="0.99006815499701128"/>
    <n v="818.27665081028215"/>
    <n v="1.5146002216748449E-2"/>
    <n v="0.20487172951877389"/>
  </r>
  <r>
    <x v="20"/>
    <s v="Cas_complex"/>
    <x v="0"/>
    <x v="1"/>
    <x v="9"/>
    <n v="-11.460143157894739"/>
    <n v="0.98366160326692265"/>
    <n v="-6.1587908771909996"/>
    <n v="0.71218522487272284"/>
    <n v="-6.02726315789468E-2"/>
    <n v="1.0578341631118751"/>
    <n v="1622.3831683739411"/>
    <n v="-8.0975218731224024E-3"/>
    <n v="0.98932064323715774"/>
    <n v="733.31581501020207"/>
    <n v="-1.0230276442427331E-2"/>
    <n v="0.7359892642859025"/>
  </r>
  <r>
    <x v="21"/>
    <s v="Cas_complex"/>
    <x v="2"/>
    <x v="1"/>
    <x v="0"/>
    <n v="-34.524177777777759"/>
    <n v="0.98206520655410634"/>
    <n v="121.90416233339791"/>
    <n v="0.77966690120194859"/>
    <n v="0"/>
    <n v="0"/>
    <n v="3397.741414303342"/>
    <n v="-1.1289120872885141E-2"/>
    <n v="0.98661892279795793"/>
    <n v="17653.84706095084"/>
    <n v="6.5598421592247104E-3"/>
    <n v="0.78594446889997571"/>
  </r>
  <r>
    <x v="21"/>
    <s v="Cas_complex"/>
    <x v="2"/>
    <x v="1"/>
    <x v="1"/>
    <n v="-20.655607368421052"/>
    <n v="0.98973733537228203"/>
    <n v="96.579093100447508"/>
    <n v="0.90505232726545382"/>
    <n v="0"/>
    <n v="0"/>
    <n v="3152.937171738125"/>
    <n v="-7.4092757361388078E-3"/>
    <n v="0.99289951893318007"/>
    <n v="18182.137733893749"/>
    <n v="4.9061161613864679E-3"/>
    <n v="0.90686742631095385"/>
  </r>
  <r>
    <x v="21"/>
    <s v="Cas_complex"/>
    <x v="2"/>
    <x v="1"/>
    <x v="2"/>
    <n v="-286.82217777777788"/>
    <n v="0.95429858493197095"/>
    <n v="-292.68224993752648"/>
    <n v="0.94780511148220981"/>
    <n v="-252.2980000000002"/>
    <n v="-414.58641227092448"/>
    <n v="28751.407888577269"/>
    <n v="-1.108466290274099E-2"/>
    <n v="0.96052218641293752"/>
    <n v="31648.70136145068"/>
    <n v="-1.019001043817268E-2"/>
    <n v="0.95354916710742321"/>
  </r>
  <r>
    <x v="21"/>
    <s v="Cas_complex"/>
    <x v="2"/>
    <x v="1"/>
    <x v="3"/>
    <n v="-19.670155263157891"/>
    <n v="0.98850908499229428"/>
    <n v="54.8719412618074"/>
    <n v="0.65535085617391398"/>
    <n v="0.98545210526315685"/>
    <n v="-41.707151838640108"/>
    <n v="3128.8076995998258"/>
    <n v="-7.0782938421471526E-3"/>
    <n v="0.99243863942624644"/>
    <n v="17613.418414372351"/>
    <n v="2.9977490774007352E-3"/>
    <n v="0.66264536115848993"/>
  </r>
  <r>
    <x v="21"/>
    <s v="Cas_complex"/>
    <x v="2"/>
    <x v="1"/>
    <x v="4"/>
    <n v="-263.56653333333338"/>
    <n v="0.97268480601058638"/>
    <n v="-246.3631263414967"/>
    <n v="0.96431115255511857"/>
    <n v="-229.0423555555557"/>
    <n v="-368.26728867489459"/>
    <n v="27289.077715345749"/>
    <n v="-1.0677462719366929E-2"/>
    <n v="0.97759827209334738"/>
    <n v="30566.533382680071"/>
    <n v="-8.7514960317403787E-3"/>
    <n v="0.96827818356396989"/>
  </r>
  <r>
    <x v="21"/>
    <s v="Cas_complex"/>
    <x v="2"/>
    <x v="1"/>
    <x v="5"/>
    <n v="-19.92881105263158"/>
    <n v="0.98676460779913955"/>
    <n v="50.375530325849653"/>
    <n v="0.47832187341053201"/>
    <n v="0.72679631578947124"/>
    <n v="-46.203562774597863"/>
    <n v="3128.2120926284661"/>
    <n v="-7.1905171866113423E-3"/>
    <n v="0.99137023832792481"/>
    <n v="22443.566937643209"/>
    <n v="2.17339782051526E-3"/>
    <n v="0.48007916795934669"/>
  </r>
  <r>
    <x v="21"/>
    <s v="Cas_complex"/>
    <x v="2"/>
    <x v="1"/>
    <x v="6"/>
    <n v="-171.47363333333351"/>
    <n v="0.98519773269813948"/>
    <n v="-173.78553389109049"/>
    <n v="0.95307414227553233"/>
    <n v="-136.94945555555569"/>
    <n v="-295.68969622448839"/>
    <n v="20390.476243481829"/>
    <n v="-9.1554842979097596E-3"/>
    <n v="0.98835342554535055"/>
    <n v="23105.074252804301"/>
    <n v="-8.1310062904599179E-3"/>
    <n v="0.95805997129454812"/>
  </r>
  <r>
    <x v="21"/>
    <s v="Cas_complex"/>
    <x v="2"/>
    <x v="1"/>
    <x v="7"/>
    <n v="-21.765247894736842"/>
    <n v="0.98706610313542553"/>
    <n v="31.763774764443269"/>
    <n v="0.46343447584359337"/>
    <n v="-1.10964052631579"/>
    <n v="-64.815318336004239"/>
    <n v="3160.7231643538971"/>
    <n v="-7.8506623415808552E-3"/>
    <n v="0.99117962679578131"/>
    <n v="21907.18453709405"/>
    <n v="1.422072393749817E-3"/>
    <n v="0.46530537903176022"/>
  </r>
  <r>
    <x v="21"/>
    <s v="Cas_complex"/>
    <x v="2"/>
    <x v="1"/>
    <x v="8"/>
    <n v="384.00163333333319"/>
    <n v="0.47081589455412542"/>
    <n v="38.983831373138322"/>
    <n v="0.19617728525041239"/>
    <n v="418.52581111111101"/>
    <n v="-82.920330960259605"/>
    <n v="2019.1869836241419"/>
    <n v="7.4061436621809418E-2"/>
    <n v="0.36950162156273492"/>
    <n v="17367.67672482695"/>
    <n v="2.176982453116576E-3"/>
    <n v="0.19403766852199289"/>
  </r>
  <r>
    <x v="21"/>
    <s v="Cas_complex"/>
    <x v="2"/>
    <x v="1"/>
    <x v="9"/>
    <n v="-19.871216842105259"/>
    <n v="0.99318478306356406"/>
    <n v="57.43107505191432"/>
    <n v="0.76209665032629847"/>
    <n v="0.78439052631578932"/>
    <n v="-39.148018048533189"/>
    <n v="3136.2683603705241"/>
    <n v="-7.1286233979782473E-3"/>
    <n v="0.99563430010654264"/>
    <n v="20209.782289583829"/>
    <n v="2.723185341321579E-3"/>
    <n v="0.76389565597829223"/>
  </r>
  <r>
    <x v="22"/>
    <s v="Cas_only"/>
    <x v="0"/>
    <x v="1"/>
    <x v="0"/>
    <n v="-17.799166666666672"/>
    <n v="0.9878374583483821"/>
    <n v="-10.079611357398351"/>
    <n v="0.97776941933386496"/>
    <n v="0"/>
    <n v="0"/>
    <n v="1790.166926901326"/>
    <n v="-1.098739201542397E-2"/>
    <n v="0.98971637834089932"/>
    <n v="886.42338358168797"/>
    <n v="-1.2821123834895001E-2"/>
    <n v="0.98347648039895541"/>
  </r>
  <r>
    <x v="22"/>
    <s v="Cas_only"/>
    <x v="0"/>
    <x v="1"/>
    <x v="1"/>
    <n v="-13.490186315789471"/>
    <n v="0.99796167133160618"/>
    <n v="-5.7628974380936917"/>
    <n v="0.98937696054745405"/>
    <n v="0"/>
    <n v="0"/>
    <n v="1692.42122356497"/>
    <n v="-9.2563848770645472E-3"/>
    <n v="0.99828927102013942"/>
    <n v="811.60513635419022"/>
    <n v="-8.1295272271288202E-3"/>
    <n v="0.99331314127050185"/>
  </r>
  <r>
    <x v="22"/>
    <s v="Cas_only"/>
    <x v="0"/>
    <x v="1"/>
    <x v="2"/>
    <n v="-22.491477777777781"/>
    <n v="0.98320977073985949"/>
    <n v="-16.62961580277803"/>
    <n v="0.87671408496375569"/>
    <n v="-4.6923111111111098"/>
    <n v="-6.5500044453796828"/>
    <n v="1953.941906187925"/>
    <n v="-1.297154516906706E-2"/>
    <n v="0.98708463744893571"/>
    <n v="1015.080097324698"/>
    <n v="-1.99444685858205E-2"/>
    <n v="0.89444652203042152"/>
  </r>
  <r>
    <x v="22"/>
    <s v="Cas_only"/>
    <x v="0"/>
    <x v="1"/>
    <x v="3"/>
    <n v="-13.82206"/>
    <n v="0.99510497489957606"/>
    <n v="-6.2852538175504202"/>
    <n v="0.98253677179794252"/>
    <n v="-0.33187368421052449"/>
    <n v="-0.52235637945672853"/>
    <n v="1676.191576292204"/>
    <n v="-9.6453475893596759E-3"/>
    <n v="0.99647712521290055"/>
    <n v="812.44891616420432"/>
    <n v="-8.9988805349513964E-3"/>
    <n v="0.98849434655151369"/>
  </r>
  <r>
    <x v="22"/>
    <s v="Cas_only"/>
    <x v="0"/>
    <x v="1"/>
    <x v="4"/>
    <n v="-19.892811111111111"/>
    <n v="0.97946012646071012"/>
    <n v="-15.95676124983366"/>
    <n v="0.85207130448865742"/>
    <n v="-2.0936444444444402"/>
    <n v="-5.8771498924353107"/>
    <n v="1933.181353238358"/>
    <n v="-1.1438852564736941E-2"/>
    <n v="0.98320902803238042"/>
    <n v="1012.335712499146"/>
    <n v="-1.9057415593304369E-2"/>
    <n v="0.87001955326410518"/>
  </r>
  <r>
    <x v="22"/>
    <s v="Cas_only"/>
    <x v="0"/>
    <x v="1"/>
    <x v="5"/>
    <n v="-13.13131578947368"/>
    <n v="0.9945044310867458"/>
    <n v="-6.0668960952274871"/>
    <n v="0.97927891147894974"/>
    <n v="0.35887052631579408"/>
    <n v="-0.30399865713379542"/>
    <n v="1646.4480377730449"/>
    <n v="-9.2899229993345638E-3"/>
    <n v="0.99732697032857653"/>
    <n v="804.46393113751401"/>
    <n v="-8.74356891959009E-3"/>
    <n v="0.98594836992178414"/>
  </r>
  <r>
    <x v="22"/>
    <s v="Cas_only"/>
    <x v="0"/>
    <x v="1"/>
    <x v="6"/>
    <n v="-21.27888888888889"/>
    <n v="0.98242835857741595"/>
    <n v="-14.299260108286759"/>
    <n v="0.92395124569375964"/>
    <n v="-3.4797222222222151"/>
    <n v="-4.2196487508884122"/>
    <n v="1878.8330069492999"/>
    <n v="-1.271334130865549E-2"/>
    <n v="0.98471099085872849"/>
    <n v="964.72767953007542"/>
    <n v="-1.7582166491859411E-2"/>
    <n v="0.93766564107172434"/>
  </r>
  <r>
    <x v="22"/>
    <s v="Cas_only"/>
    <x v="0"/>
    <x v="1"/>
    <x v="7"/>
    <n v="-13.16800421052632"/>
    <n v="0.99615617121789524"/>
    <n v="-5.8894806412394409"/>
    <n v="0.99427079528078421"/>
    <n v="0.32218210526315788"/>
    <n v="-0.1265832031457492"/>
    <n v="1631.625875607825"/>
    <n v="-9.4009829560260192E-3"/>
    <n v="0.99726764255530476"/>
    <n v="797.20535260299198"/>
    <n v="-8.5015214535696885E-3"/>
    <n v="0.99745153391775443"/>
  </r>
  <r>
    <x v="22"/>
    <s v="Cas_only"/>
    <x v="0"/>
    <x v="1"/>
    <x v="8"/>
    <n v="-19.73352222222222"/>
    <n v="0.96811102036591479"/>
    <n v="-9.3994077820378887"/>
    <n v="0.92748532974679432"/>
    <n v="-1.9343555555555521"/>
    <n v="0.6802035753604585"/>
    <n v="1460.0135824125209"/>
    <n v="-1.565264289010523E-2"/>
    <n v="0.97554370875870633"/>
    <n v="744.45682564144045"/>
    <n v="-1.45349540443951E-2"/>
    <n v="0.93820822412884375"/>
  </r>
  <r>
    <x v="22"/>
    <s v="Cas_only"/>
    <x v="0"/>
    <x v="1"/>
    <x v="9"/>
    <n v="-13.42778684210526"/>
    <n v="0.9911778489919808"/>
    <n v="-5.8054617650509837"/>
    <n v="0.98873913768689203"/>
    <n v="6.239947368421106E-2"/>
    <n v="-4.2564326957291947E-2"/>
    <n v="1618.9054872294651"/>
    <n v="-9.7478151401957473E-3"/>
    <n v="0.9956547361236302"/>
    <n v="793.37389065568914"/>
    <n v="-8.4279319707736347E-3"/>
    <n v="0.99390708774545644"/>
  </r>
  <r>
    <x v="23"/>
    <s v="Cas_complex"/>
    <x v="1"/>
    <x v="1"/>
    <x v="0"/>
    <n v="-2.291488888888888"/>
    <n v="0.97743054472701807"/>
    <n v="-11.368287063342059"/>
    <n v="0.26367884519187418"/>
    <n v="0"/>
    <n v="0"/>
    <n v="120.508442658742"/>
    <n v="-2.3605483680031372E-2"/>
    <n v="0.98515120833900682"/>
    <n v="351.23263042797049"/>
    <n v="-5.9321599360577459E-2"/>
    <n v="0.29227540603234892"/>
  </r>
  <r>
    <x v="23"/>
    <s v="Cas_complex"/>
    <x v="1"/>
    <x v="1"/>
    <x v="1"/>
    <n v="-1.184441052631579"/>
    <n v="0.95042024707509076"/>
    <n v="-3.1212600173412279"/>
    <n v="6.3701313168660123E-2"/>
    <n v="0"/>
    <n v="0"/>
    <n v="107.21182370433699"/>
    <n v="-1.407012165833588E-2"/>
    <n v="0.96695786913261084"/>
    <n v="272.60888737799303"/>
    <n v="-1.7956119035677749E-2"/>
    <n v="7.5201383338811101E-2"/>
  </r>
  <r>
    <x v="23"/>
    <s v="Cas_complex"/>
    <x v="1"/>
    <x v="1"/>
    <x v="2"/>
    <n v="-1.8070444444444429"/>
    <n v="0.86127728643236501"/>
    <n v="-9.4217116293783558"/>
    <n v="0.14738697331798831"/>
    <n v="0.48444444444444512"/>
    <n v="1.9465754339637049"/>
    <n v="83.834095767179832"/>
    <n v="-2.8008787037492801E-2"/>
    <n v="0.87452276748363222"/>
    <n v="226.0051943849447"/>
    <n v="-5.059658837080587E-2"/>
    <n v="0.1157617280341204"/>
  </r>
  <r>
    <x v="23"/>
    <s v="Cas_complex"/>
    <x v="1"/>
    <x v="1"/>
    <x v="3"/>
    <n v="-1.2572836842105271"/>
    <n v="0.94804185721363043"/>
    <n v="-3.033590129086531"/>
    <n v="9.5465755371428762E-2"/>
    <n v="-7.2842631578947437E-2"/>
    <n v="8.7669888254697348E-2"/>
    <n v="109.7772577439348"/>
    <n v="-1.4787041459506401E-2"/>
    <n v="0.96705093145991461"/>
    <n v="264.59096941049751"/>
    <n v="-1.660322799382917E-2"/>
    <n v="0.1063020194116058"/>
  </r>
  <r>
    <x v="23"/>
    <s v="Cas_complex"/>
    <x v="1"/>
    <x v="1"/>
    <x v="4"/>
    <n v="-2.0173777777777748"/>
    <n v="0.95896366544467981"/>
    <n v="-2.0360370272324579"/>
    <n v="9.8436988980177276E-3"/>
    <n v="0.27411111111111358"/>
    <n v="9.3322500361096026"/>
    <n v="81.429819243314981"/>
    <n v="-3.3603547560647221E-2"/>
    <n v="0.96893558038761884"/>
    <n v="150.44380774024091"/>
    <n v="-1.9391612220271422E-2"/>
    <n v="1.1942188129861919E-2"/>
  </r>
  <r>
    <x v="23"/>
    <s v="Cas_complex"/>
    <x v="1"/>
    <x v="1"/>
    <x v="5"/>
    <n v="-1.2668184210526301"/>
    <n v="0.93772193585295616"/>
    <n v="-5.5691169323155897E-2"/>
    <n v="3.1636059677153661E-5"/>
    <n v="-8.2377368421051145E-2"/>
    <n v="3.0655688480180729"/>
    <n v="104.35574510807361"/>
    <n v="-1.5801135552948809E-2"/>
    <n v="0.94937797041153327"/>
    <n v="182.31945063960731"/>
    <n v="-2.9945214409284998E-4"/>
    <n v="3.086082308356719E-5"/>
  </r>
  <r>
    <x v="23"/>
    <s v="Cas_complex"/>
    <x v="1"/>
    <x v="1"/>
    <x v="6"/>
    <n v="-1.8294777777777791"/>
    <n v="0.93478774938081466"/>
    <n v="10.56755716240141"/>
    <n v="0.26644243651870492"/>
    <n v="0.46201111111110921"/>
    <n v="21.93584422574347"/>
    <n v="81.300833527455936"/>
    <n v="-2.991735566394842E-2"/>
    <n v="0.95559611616451301"/>
    <n v="128.2822242207582"/>
    <n v="5.0792733583449351E-2"/>
    <n v="0.26353109201465058"/>
  </r>
  <r>
    <x v="23"/>
    <s v="Cas_complex"/>
    <x v="1"/>
    <x v="1"/>
    <x v="7"/>
    <n v="-1.307565789473685"/>
    <n v="0.96146082681208422"/>
    <n v="-2.4250306018875372"/>
    <n v="6.4006671760422185E-2"/>
    <n v="-0.1231247368421053"/>
    <n v="0.69622941545369166"/>
    <n v="106.32267487919459"/>
    <n v="-1.6195244445860721E-2"/>
    <n v="0.97884446847107254"/>
    <n v="242.98822968466709"/>
    <n v="-1.232595491414046E-2"/>
    <n v="6.5052536215573054E-2"/>
  </r>
  <r>
    <x v="23"/>
    <s v="Cas_complex"/>
    <x v="1"/>
    <x v="1"/>
    <x v="8"/>
    <n v="-1.9158555555555521"/>
    <n v="0.91756174814871616"/>
    <n v="-8.3332453360639409"/>
    <n v="9.3487426927571837E-2"/>
    <n v="0.37563333333333682"/>
    <n v="3.03504172727812"/>
    <n v="77.075830164305387"/>
    <n v="-3.4311888790094322E-2"/>
    <n v="0.93793056344025771"/>
    <n v="259.255909760664"/>
    <n v="-2.9709648781764329E-2"/>
    <n v="6.657680507710606E-2"/>
  </r>
  <r>
    <x v="23"/>
    <s v="Cas_complex"/>
    <x v="1"/>
    <x v="1"/>
    <x v="9"/>
    <n v="-1.163943684210526"/>
    <n v="0.94176138967901457"/>
    <n v="-3.8075772388336011"/>
    <n v="0.1529715281944051"/>
    <n v="2.049736842105299E-2"/>
    <n v="-0.68631722149237273"/>
    <n v="101.6761585378963"/>
    <n v="-1.468657866021237E-2"/>
    <n v="0.95610624947186384"/>
    <n v="274.09888103941489"/>
    <n v="-2.1362523664224621E-2"/>
    <n v="0.16864436554024259"/>
  </r>
  <r>
    <x v="24"/>
    <s v="Cas_complex"/>
    <x v="1"/>
    <x v="1"/>
    <x v="0"/>
    <n v="-2.6815333333333329"/>
    <n v="0.99038186048750165"/>
    <n v="-1.828645127534136"/>
    <n v="1.263400789652191E-2"/>
    <n v="0"/>
    <n v="0"/>
    <n v="130.00807837511661"/>
    <n v="-2.6054532842724749E-2"/>
    <n v="0.99441027248886638"/>
    <n v="239.2144749019063"/>
    <n v="-9.2259579901969608E-3"/>
    <n v="1.403898419756466E-2"/>
  </r>
  <r>
    <x v="24"/>
    <s v="Cas_complex"/>
    <x v="1"/>
    <x v="1"/>
    <x v="1"/>
    <n v="-1.3383189473684209"/>
    <n v="0.96618354006533236"/>
    <n v="-2.8277234331788001"/>
    <n v="0.1063792532319279"/>
    <n v="0"/>
    <n v="0"/>
    <n v="110.56825750928461"/>
    <n v="-1.582657587694792E-2"/>
    <n v="0.98230761456964666"/>
    <n v="230.6161393473262"/>
    <n v="-1.5827695558490111E-2"/>
    <n v="0.10674505196815511"/>
  </r>
  <r>
    <x v="24"/>
    <s v="Cas_complex"/>
    <x v="1"/>
    <x v="1"/>
    <x v="2"/>
    <n v="-1.870133333333337"/>
    <n v="0.91189746815995298"/>
    <n v="-4.8982674228089227"/>
    <n v="8.9416406865865605E-2"/>
    <n v="0.81139999999999568"/>
    <n v="-3.0696222952747871"/>
    <n v="87.247425930431007"/>
    <n v="-2.803744096131796E-2"/>
    <n v="0.93194787043332483"/>
    <n v="205.04534233524049"/>
    <n v="-3.2964622274531313E-2"/>
    <n v="9.1980720629989521E-2"/>
  </r>
  <r>
    <x v="24"/>
    <s v="Cas_complex"/>
    <x v="1"/>
    <x v="1"/>
    <x v="3"/>
    <n v="-1.241378947368422"/>
    <n v="0.95367752116954008"/>
    <n v="2.7084547296869048"/>
    <n v="0.11334963688154689"/>
    <n v="9.6939999999999138E-2"/>
    <n v="5.5361781628657054"/>
    <n v="108.82660655168399"/>
    <n v="-1.4683070603378369E-2"/>
    <n v="0.97139627424719432"/>
    <n v="132.68221147214459"/>
    <n v="1.545338128120001E-2"/>
    <n v="0.111351380726852"/>
  </r>
  <r>
    <x v="24"/>
    <s v="Cas_complex"/>
    <x v="1"/>
    <x v="1"/>
    <x v="4"/>
    <n v="-2.0156555555555551"/>
    <n v="0.94972256073188888"/>
    <n v="-9.0525906332302881"/>
    <n v="0.24621962533115219"/>
    <n v="0.66587777777777823"/>
    <n v="-7.2239455056961521"/>
    <n v="88.662214261595224"/>
    <n v="-3.0114711809724359E-2"/>
    <n v="0.96557347364862767"/>
    <n v="255.45952441893581"/>
    <n v="-8.4022429200031723E-2"/>
    <n v="0.28667537191155179"/>
  </r>
  <r>
    <x v="24"/>
    <s v="Cas_complex"/>
    <x v="1"/>
    <x v="1"/>
    <x v="5"/>
    <n v="-1.332673684210526"/>
    <n v="0.9630340727718778"/>
    <n v="-0.35909578013339682"/>
    <n v="1.641349150194205E-3"/>
    <n v="5.6452631578951529E-3"/>
    <n v="2.4686276530454032"/>
    <n v="108.8093654797578"/>
    <n v="-1.6108982281986341E-2"/>
    <n v="0.98058239203868958"/>
    <n v="156.04315267760029"/>
    <n v="-2.195679701208026E-3"/>
    <n v="1.5103648215595289E-3"/>
  </r>
  <r>
    <x v="24"/>
    <s v="Cas_complex"/>
    <x v="1"/>
    <x v="1"/>
    <x v="6"/>
    <n v="-1.8868444444444461"/>
    <n v="0.95487954932871677"/>
    <n v="0.46662178919381492"/>
    <n v="1.10208165232395E-3"/>
    <n v="0.79468888888888678"/>
    <n v="2.2952669167279511"/>
    <n v="84.89550688667326"/>
    <n v="-2.9096632947240561E-2"/>
    <n v="0.96793414912381182"/>
    <n v="164.5402171308983"/>
    <n v="2.615571152892176E-3"/>
    <n v="1.0404821088124681E-3"/>
  </r>
  <r>
    <x v="24"/>
    <s v="Cas_complex"/>
    <x v="1"/>
    <x v="1"/>
    <x v="7"/>
    <n v="-1.2731531578947379"/>
    <n v="0.94440340064123562"/>
    <n v="-9.0274372965870455"/>
    <n v="0.38228065612719669"/>
    <n v="6.5165789473683233E-2"/>
    <n v="-6.1997138634082454"/>
    <n v="104.52663110524389"/>
    <n v="-1.609247423064343E-2"/>
    <n v="0.96622141773311143"/>
    <n v="372.99551436847321"/>
    <n v="-5.3968203092199421E-2"/>
    <n v="0.38855079744836341"/>
  </r>
  <r>
    <x v="24"/>
    <s v="Cas_complex"/>
    <x v="1"/>
    <x v="1"/>
    <x v="8"/>
    <n v="-1.7384888888888901"/>
    <n v="0.93951528568708387"/>
    <n v="-0.75663393049005412"/>
    <n v="2.5357532061905941E-3"/>
    <n v="0.94304444444444324"/>
    <n v="1.072011197044082"/>
    <n v="77.400354600277495"/>
    <n v="-2.9674799650382781E-2"/>
    <n v="0.95627110030608242"/>
    <n v="149.21049422272131"/>
    <n v="-6.9188266887223217E-3"/>
    <n v="3.2513262318064622E-3"/>
  </r>
  <r>
    <x v="24"/>
    <s v="Cas_complex"/>
    <x v="1"/>
    <x v="1"/>
    <x v="9"/>
    <n v="-1.2229189473684201"/>
    <n v="0.94570638966789466"/>
    <n v="-3.1389480172169049"/>
    <n v="0.12905238185567511"/>
    <n v="0.1154000000000011"/>
    <n v="-0.31122458403810521"/>
    <n v="106.01657339684451"/>
    <n v="-1.492997801469265E-2"/>
    <n v="0.96490089368100673"/>
    <n v="194.60775799963091"/>
    <n v="-2.0534536397429519E-2"/>
    <n v="0.1194271570016303"/>
  </r>
  <r>
    <x v="25"/>
    <s v="Cas_complex"/>
    <x v="0"/>
    <x v="0"/>
    <x v="0"/>
    <n v="-18.687522222222221"/>
    <n v="0.98462113009952801"/>
    <n v="-327.70033550338547"/>
    <n v="0.1453546671656806"/>
    <n v="0"/>
    <n v="0"/>
    <n v="1865.279846458345"/>
    <n v="-1.1106518926940629E-2"/>
    <n v="0.98859532858966592"/>
    <n v="9360.0989226913498"/>
    <n v="-5.6049060575571352E-2"/>
    <n v="0.14403753507819639"/>
  </r>
  <r>
    <x v="25"/>
    <s v="Cas_complex"/>
    <x v="0"/>
    <x v="0"/>
    <x v="1"/>
    <n v="-13.805529999999999"/>
    <n v="0.98766509373495159"/>
    <n v="-214.89198332793379"/>
    <n v="0.45933339552686708"/>
    <n v="0"/>
    <n v="0"/>
    <n v="1742.9503693662971"/>
    <n v="-9.2474517158617625E-3"/>
    <n v="0.99341941934612532"/>
    <n v="9768.7848463492755"/>
    <n v="-5.8097835233927093E-2"/>
    <n v="0.52454211565476117"/>
  </r>
  <r>
    <x v="25"/>
    <s v="Cas_complex"/>
    <x v="0"/>
    <x v="0"/>
    <x v="2"/>
    <n v="-24.076711111111109"/>
    <n v="0.97343155564517825"/>
    <n v="73.703800707215521"/>
    <n v="8.9119218050488502E-3"/>
    <n v="-5.3891888888888957"/>
    <n v="401.404136210601"/>
    <n v="1935.264657931267"/>
    <n v="-1.4211404881599341E-2"/>
    <n v="0.97987987040028524"/>
    <n v="4035.8551148174329"/>
    <n v="1.6530413335233501E-2"/>
    <n v="9.3532067148611731E-3"/>
  </r>
  <r>
    <x v="25"/>
    <s v="Cas_complex"/>
    <x v="0"/>
    <x v="0"/>
    <x v="3"/>
    <n v="-10.65806684210526"/>
    <n v="0.98230941391927273"/>
    <n v="-176.96215318932099"/>
    <n v="0.35063129640210577"/>
    <n v="3.1474631578947361"/>
    <n v="37.929830138612829"/>
    <n v="1720.381095136119"/>
    <n v="-6.9542332920224251E-3"/>
    <n v="0.98518432441381787"/>
    <n v="8791.4375796537861"/>
    <n v="-5.8110452757899902E-2"/>
    <n v="0.43314113812599769"/>
  </r>
  <r>
    <x v="25"/>
    <s v="Cas_complex"/>
    <x v="0"/>
    <x v="0"/>
    <x v="4"/>
    <n v="-22.27311111111112"/>
    <n v="0.97707434438209584"/>
    <n v="-22.741570400770261"/>
    <n v="8.5486625104380654E-4"/>
    <n v="-3.5855888888889029"/>
    <n v="304.95876510261519"/>
    <n v="1904.232677939618"/>
    <n v="-1.322723961749139E-2"/>
    <n v="0.98216733754469332"/>
    <n v="5824.8877662785426"/>
    <n v="-3.3692684635776809E-3"/>
    <n v="7.1634837173584209E-4"/>
  </r>
  <r>
    <x v="25"/>
    <s v="Cas_complex"/>
    <x v="0"/>
    <x v="0"/>
    <x v="5"/>
    <n v="-12.45125"/>
    <n v="0.98729020151949121"/>
    <n v="-260.40348088226881"/>
    <n v="0.37150644143693468"/>
    <n v="1.354279999999997"/>
    <n v="-45.511497554334937"/>
    <n v="1753.1867459330981"/>
    <n v="-8.1347932917733724E-3"/>
    <n v="0.99157139777433911"/>
    <n v="10902.01607236137"/>
    <n v="-4.8940862692490143E-2"/>
    <n v="0.37152699761002939"/>
  </r>
  <r>
    <x v="25"/>
    <s v="Cas_complex"/>
    <x v="0"/>
    <x v="0"/>
    <x v="6"/>
    <n v="-19.521899999999999"/>
    <n v="0.98010709099447835"/>
    <n v="185.0651953695025"/>
    <n v="2.4900899907107529E-2"/>
    <n v="-0.83437777777778521"/>
    <n v="512.76553087288789"/>
    <n v="1793.957575294929"/>
    <n v="-1.2194222699350939E-2"/>
    <n v="0.98519660686442978"/>
    <n v="4454.8242361199218"/>
    <n v="2.177348741302107E-2"/>
    <n v="1.5952759450684969E-2"/>
  </r>
  <r>
    <x v="25"/>
    <s v="Cas_complex"/>
    <x v="0"/>
    <x v="0"/>
    <x v="7"/>
    <n v="-12.021833684210529"/>
    <n v="0.98649791120544095"/>
    <n v="80.441076055815273"/>
    <n v="2.1641184115933191E-2"/>
    <n v="1.7836963157894681"/>
    <n v="295.33305938374912"/>
    <n v="1748.611997625726"/>
    <n v="-7.8379145313219045E-3"/>
    <n v="0.99080280047804747"/>
    <n v="5959.3977315477923"/>
    <n v="1.0996927806965319E-2"/>
    <n v="2.1134324089515211E-2"/>
  </r>
  <r>
    <x v="25"/>
    <s v="Cas_complex"/>
    <x v="0"/>
    <x v="0"/>
    <x v="8"/>
    <n v="-16.66102222222224"/>
    <n v="0.96575712727751373"/>
    <n v="167.51941061602651"/>
    <n v="7.4053264898739424E-2"/>
    <n v="2.0264999999999809"/>
    <n v="495.21974611941198"/>
    <n v="1330.8931692434969"/>
    <n v="-1.4321810974467089E-2"/>
    <n v="0.9726740692221727"/>
    <n v="5534.1311735647714"/>
    <n v="2.50984008550235E-2"/>
    <n v="7.7433444122035566E-2"/>
  </r>
  <r>
    <x v="25"/>
    <s v="Cas_complex"/>
    <x v="0"/>
    <x v="0"/>
    <x v="9"/>
    <n v="-11.464549999999999"/>
    <n v="0.97833896529396602"/>
    <n v="18.504814786591751"/>
    <n v="3.472941873538304E-3"/>
    <n v="2.3409800000000001"/>
    <n v="233.39679811452561"/>
    <n v="1724.6227045661381"/>
    <n v="-7.5551709883188772E-3"/>
    <n v="0.98398110499011038"/>
    <n v="6320.5554537607613"/>
    <n v="2.5623960274202069E-3"/>
    <n v="3.172689824297525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-2.291488888888888"/>
    <x v="0"/>
  </r>
  <r>
    <n v="-2.6815333333333329"/>
    <x v="1"/>
  </r>
  <r>
    <n v="-2.7214999999999989"/>
    <x v="2"/>
  </r>
  <r>
    <n v="-1.90905555555555"/>
    <x v="3"/>
  </r>
  <r>
    <n v="-5.4101555555555558"/>
    <x v="4"/>
  </r>
  <r>
    <n v="-4.9031222222222182"/>
    <x v="4"/>
  </r>
  <r>
    <n v="-2.4498555555555561"/>
    <x v="4"/>
  </r>
  <r>
    <n v="-3.1992444444444459"/>
    <x v="4"/>
  </r>
  <r>
    <n v="-1.184441052631579"/>
    <x v="5"/>
  </r>
  <r>
    <n v="-1.3383189473684209"/>
    <x v="6"/>
  </r>
  <r>
    <n v="-1.5140994736842119"/>
    <x v="7"/>
  </r>
  <r>
    <n v="-1.3072921052631581"/>
    <x v="8"/>
  </r>
  <r>
    <n v="-2.429554210526315"/>
    <x v="4"/>
  </r>
  <r>
    <n v="-1.52263052631579"/>
    <x v="4"/>
  </r>
  <r>
    <n v="-1.347986842105263"/>
    <x v="4"/>
  </r>
  <r>
    <n v="-2.1779515789473689"/>
    <x v="4"/>
  </r>
  <r>
    <n v="-1.9158555555555521"/>
    <x v="9"/>
  </r>
  <r>
    <n v="-1.7384888888888901"/>
    <x v="10"/>
  </r>
  <r>
    <n v="-2.252400000000006"/>
    <x v="11"/>
  </r>
  <r>
    <n v="-2.7338666666666649"/>
    <x v="12"/>
  </r>
  <r>
    <n v="-4.2734888888888882"/>
    <x v="4"/>
  </r>
  <r>
    <n v="-3.191211111111111"/>
    <x v="4"/>
  </r>
  <r>
    <n v="-3.4705888888888898"/>
    <x v="4"/>
  </r>
  <r>
    <n v="-3.0808111111111121"/>
    <x v="4"/>
  </r>
  <r>
    <n v="-1.163943684210526"/>
    <x v="13"/>
  </r>
  <r>
    <n v="-1.2229189473684201"/>
    <x v="14"/>
  </r>
  <r>
    <n v="-1.3253342105263159"/>
    <x v="15"/>
  </r>
  <r>
    <n v="-1.211600526315789"/>
    <x v="16"/>
  </r>
  <r>
    <n v="-2.6524305263157921"/>
    <x v="4"/>
  </r>
  <r>
    <n v="-1.4845452631578939"/>
    <x v="4"/>
  </r>
  <r>
    <n v="-1.403843157894737"/>
    <x v="4"/>
  </r>
  <r>
    <n v="-1.858515263157892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CBB12-65AD-0345-9E4A-957ACC3BA35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6:L27" firstHeaderRow="0" firstDataRow="1" firstDataCol="0"/>
  <pivotFields count="2">
    <pivotField dataField="1" showAll="0"/>
    <pivotField dataField="1" showAll="0">
      <items count="18">
        <item x="2"/>
        <item x="10"/>
        <item x="0"/>
        <item x="6"/>
        <item x="14"/>
        <item x="11"/>
        <item x="1"/>
        <item x="3"/>
        <item x="12"/>
        <item x="9"/>
        <item x="7"/>
        <item x="15"/>
        <item x="5"/>
        <item x="8"/>
        <item x="13"/>
        <item x="16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HU" fld="0" baseField="0" baseItem="0"/>
    <dataField name="Sum of SCDU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EDC3C-3332-884C-9FB5-296A641D75C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D135" firstHeaderRow="1" firstDataRow="2" firstDataCol="1" rowPageCount="1" colPageCount="1"/>
  <pivotFields count="17">
    <pivotField axis="axisRow" showAll="0">
      <items count="27">
        <item x="21"/>
        <item x="7"/>
        <item x="13"/>
        <item x="23"/>
        <item x="24"/>
        <item x="2"/>
        <item x="4"/>
        <item x="14"/>
        <item x="15"/>
        <item x="20"/>
        <item x="12"/>
        <item x="19"/>
        <item x="16"/>
        <item x="10"/>
        <item x="5"/>
        <item x="1"/>
        <item x="25"/>
        <item x="22"/>
        <item x="3"/>
        <item x="6"/>
        <item x="0"/>
        <item x="11"/>
        <item x="9"/>
        <item x="18"/>
        <item x="17"/>
        <item x="8"/>
        <item t="default"/>
      </items>
    </pivotField>
    <pivotField showAll="0"/>
    <pivotField axis="axisPage" multipleItemSelectionAllowed="1" showAll="0">
      <items count="4">
        <item h="1" x="2"/>
        <item h="1"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11">
        <item x="0"/>
        <item x="2"/>
        <item x="4"/>
        <item x="6"/>
        <item x="8"/>
        <item x="1"/>
        <item x="3"/>
        <item x="5"/>
        <item x="7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0"/>
  </rowFields>
  <rowItems count="130">
    <i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1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2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3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8"/>
    </i>
    <i r="1">
      <x v="19"/>
    </i>
    <i r="1">
      <x v="21"/>
    </i>
    <i r="1">
      <x v="23"/>
    </i>
    <i r="1">
      <x v="24"/>
    </i>
    <i>
      <x v="4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5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6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7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8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>
      <x v="9"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 of delta Rct-a concentration minus zero concentration" fld="9" baseField="0" baseItem="0"/>
  </dataFields>
  <chartFormats count="2">
    <chartFormat chart="0" format="8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9B71-EAE6-7240-BF9E-88EB474CB8EA}">
  <dimension ref="A2:L135"/>
  <sheetViews>
    <sheetView tabSelected="1" zoomScale="75" workbookViewId="0">
      <selection activeCell="B9" sqref="B9"/>
    </sheetView>
  </sheetViews>
  <sheetFormatPr baseColWidth="10" defaultRowHeight="15" x14ac:dyDescent="0.2"/>
  <cols>
    <col min="1" max="1" width="47.33203125" bestFit="1" customWidth="1"/>
    <col min="2" max="2" width="14.83203125" bestFit="1" customWidth="1"/>
    <col min="3" max="4" width="12.6640625" bestFit="1" customWidth="1"/>
    <col min="5" max="5" width="24.83203125" bestFit="1" customWidth="1"/>
    <col min="6" max="6" width="27.1640625" bestFit="1" customWidth="1"/>
    <col min="7" max="7" width="29.1640625" bestFit="1" customWidth="1"/>
    <col min="8" max="8" width="23.6640625" bestFit="1" customWidth="1"/>
    <col min="9" max="9" width="27.1640625" bestFit="1" customWidth="1"/>
    <col min="11" max="12" width="13.6640625" bestFit="1" customWidth="1"/>
  </cols>
  <sheetData>
    <row r="2" spans="1:8" x14ac:dyDescent="0.2">
      <c r="A2" s="3" t="s">
        <v>2</v>
      </c>
      <c r="B2" t="s">
        <v>33</v>
      </c>
    </row>
    <row r="4" spans="1:8" x14ac:dyDescent="0.2">
      <c r="A4" s="3" t="s">
        <v>66</v>
      </c>
      <c r="B4" s="3" t="s">
        <v>61</v>
      </c>
    </row>
    <row r="5" spans="1:8" x14ac:dyDescent="0.2">
      <c r="A5" s="3" t="s">
        <v>62</v>
      </c>
      <c r="B5" t="s">
        <v>34</v>
      </c>
      <c r="C5" t="s">
        <v>20</v>
      </c>
      <c r="D5" t="s">
        <v>63</v>
      </c>
    </row>
    <row r="6" spans="1:8" x14ac:dyDescent="0.2">
      <c r="A6" s="4" t="s">
        <v>21</v>
      </c>
      <c r="B6" s="2">
        <v>0</v>
      </c>
      <c r="C6" s="2">
        <v>0</v>
      </c>
      <c r="D6" s="2">
        <v>0</v>
      </c>
      <c r="G6" t="str">
        <f>B5</f>
        <v>HU</v>
      </c>
      <c r="H6" t="str">
        <f>C5</f>
        <v>SCDU</v>
      </c>
    </row>
    <row r="7" spans="1:8" x14ac:dyDescent="0.2">
      <c r="A7" s="5" t="s">
        <v>48</v>
      </c>
      <c r="B7" s="2"/>
      <c r="C7" s="2">
        <v>0</v>
      </c>
      <c r="D7" s="2">
        <v>0</v>
      </c>
      <c r="F7" t="str">
        <f>$A$6</f>
        <v>0pM_asso</v>
      </c>
      <c r="G7" t="e">
        <f>GETPIVOTDATA("delta Rct-a Slope",$A$4,"Chip Name","Chip 26","Protein","HU","Concentration","0pM_asso")</f>
        <v>#REF!</v>
      </c>
      <c r="H7" t="e">
        <f>GETPIVOTDATA("delta Rct-a Slope",$A$4,"Chip Name","Chip 23","Protein","SCDU","Concentration","0pM_asso")</f>
        <v>#REF!</v>
      </c>
    </row>
    <row r="8" spans="1:8" x14ac:dyDescent="0.2">
      <c r="A8" s="5" t="s">
        <v>58</v>
      </c>
      <c r="B8" s="2">
        <v>0</v>
      </c>
      <c r="C8" s="2"/>
      <c r="D8" s="2">
        <v>0</v>
      </c>
      <c r="F8" t="str">
        <f t="shared" ref="F8:F14" si="0">$A$6</f>
        <v>0pM_asso</v>
      </c>
      <c r="G8" t="e">
        <f>GETPIVOTDATA("delta Rct-a Slope",$A$4,"Chip Name","Chip 27","Protein","HU","Concentration","0pM_asso")</f>
        <v>#REF!</v>
      </c>
      <c r="H8" t="e">
        <f>GETPIVOTDATA("delta Rct-a Slope",$A$4,"Chip Name","Chip 43","Protein","SCDU","Concentration","0pM_asso")</f>
        <v>#REF!</v>
      </c>
    </row>
    <row r="9" spans="1:8" x14ac:dyDescent="0.2">
      <c r="A9" s="5" t="s">
        <v>59</v>
      </c>
      <c r="B9" s="2">
        <v>0</v>
      </c>
      <c r="C9" s="2"/>
      <c r="D9" s="2">
        <v>0</v>
      </c>
      <c r="F9" t="str">
        <f t="shared" si="0"/>
        <v>0pM_asso</v>
      </c>
      <c r="G9" t="e">
        <f>GETPIVOTDATA("delta Rct-a Slope",$A$4,"Chip Name","Chip 32","Protein","HU","Concentration","0pM_asso")</f>
        <v>#REF!</v>
      </c>
      <c r="H9" t="e">
        <f>GETPIVOTDATA("delta Rct-a Slope",$A$4,"Chip Name","Chip 44","Protein","SCDU","Concentration","0pM_asso")</f>
        <v>#REF!</v>
      </c>
    </row>
    <row r="10" spans="1:8" x14ac:dyDescent="0.2">
      <c r="A10" s="5" t="s">
        <v>35</v>
      </c>
      <c r="B10" s="2">
        <v>0</v>
      </c>
      <c r="C10" s="2"/>
      <c r="D10" s="2">
        <v>0</v>
      </c>
      <c r="F10" t="str">
        <f t="shared" si="0"/>
        <v>0pM_asso</v>
      </c>
      <c r="G10" t="e">
        <f>GETPIVOTDATA("delta Rct-a Slope",$A$4,"Chip Name","Chip 45","Protein","HU","Concentration","0pM_asso")</f>
        <v>#REF!</v>
      </c>
      <c r="H10" t="e">
        <f>GETPIVOTDATA("delta Rct-a Slope",$A$4,"Chip Name","Chip 48","Protein","SCDU","Concentration","0pM_asso")</f>
        <v>#REF!</v>
      </c>
    </row>
    <row r="11" spans="1:8" x14ac:dyDescent="0.2">
      <c r="A11" s="5" t="s">
        <v>45</v>
      </c>
      <c r="B11" s="2"/>
      <c r="C11" s="2">
        <v>0</v>
      </c>
      <c r="D11" s="2">
        <v>0</v>
      </c>
      <c r="F11" t="str">
        <f t="shared" si="0"/>
        <v>0pM_asso</v>
      </c>
      <c r="G11" t="e">
        <f>GETPIVOTDATA("delta Rct-a Slope",$A$4,"Chip Name","Chip 52","Protein","HU","Concentration","0pM_asso")</f>
        <v>#REF!</v>
      </c>
    </row>
    <row r="12" spans="1:8" x14ac:dyDescent="0.2">
      <c r="A12" s="5" t="s">
        <v>39</v>
      </c>
      <c r="B12" s="2"/>
      <c r="C12" s="2">
        <v>0</v>
      </c>
      <c r="D12" s="2">
        <v>0</v>
      </c>
      <c r="F12" t="str">
        <f t="shared" si="0"/>
        <v>0pM_asso</v>
      </c>
      <c r="G12" t="e">
        <f>GETPIVOTDATA("delta Rct-a Slope",$A$4,"Chip Name","Chip 54","Protein","HU","Concentration","0pM_asso")</f>
        <v>#REF!</v>
      </c>
    </row>
    <row r="13" spans="1:8" x14ac:dyDescent="0.2">
      <c r="A13" s="5" t="s">
        <v>31</v>
      </c>
      <c r="B13" s="2">
        <v>0</v>
      </c>
      <c r="C13" s="2"/>
      <c r="D13" s="2">
        <v>0</v>
      </c>
      <c r="F13" t="str">
        <f t="shared" si="0"/>
        <v>0pM_asso</v>
      </c>
      <c r="G13" t="e">
        <f>GETPIVOTDATA("delta Rct-a Slope",$A$4,"Chip Name","Chip 56","Protein","HU","Concentration","0pM_asso")</f>
        <v>#REF!</v>
      </c>
    </row>
    <row r="14" spans="1:8" x14ac:dyDescent="0.2">
      <c r="A14" s="5" t="s">
        <v>36</v>
      </c>
      <c r="B14" s="2"/>
      <c r="C14" s="2">
        <v>0</v>
      </c>
      <c r="D14" s="2">
        <v>0</v>
      </c>
      <c r="F14" t="str">
        <f t="shared" si="0"/>
        <v>0pM_asso</v>
      </c>
      <c r="G14" t="e">
        <f>GETPIVOTDATA("delta Rct-a Slope",$A$4,"Chip Name","Chip 57","Protein","HU","Concentration","0pM_asso")</f>
        <v>#REF!</v>
      </c>
    </row>
    <row r="15" spans="1:8" x14ac:dyDescent="0.2">
      <c r="A15" s="5" t="s">
        <v>40</v>
      </c>
      <c r="B15" s="2">
        <v>0</v>
      </c>
      <c r="C15" s="2"/>
      <c r="D15" s="2">
        <v>0</v>
      </c>
      <c r="F15" t="str">
        <f>$A$19</f>
        <v>100pM_asso</v>
      </c>
      <c r="G15" t="e">
        <f>GETPIVOTDATA("delta Rct-a Slope",$A$4,"Chip Name","Chip 26","Protein","HU","Concentration","0pM_disso")</f>
        <v>#REF!</v>
      </c>
      <c r="H15" t="e">
        <f>GETPIVOTDATA("delta Rct-a Slope",$A$4,"Chip Name","Chip 23","Protein","SCDU","Concentration","0pM_disso")</f>
        <v>#REF!</v>
      </c>
    </row>
    <row r="16" spans="1:8" x14ac:dyDescent="0.2">
      <c r="A16" s="5" t="s">
        <v>46</v>
      </c>
      <c r="B16" s="2">
        <v>0</v>
      </c>
      <c r="C16" s="2"/>
      <c r="D16" s="2">
        <v>0</v>
      </c>
      <c r="F16" t="str">
        <f t="shared" ref="F16:F22" si="1">$A$19</f>
        <v>100pM_asso</v>
      </c>
      <c r="G16" t="e">
        <f>GETPIVOTDATA("delta Rct-a Slope",$A$4,"Chip Name","Chip 27","Protein","HU","Concentration","0pM_disso")</f>
        <v>#REF!</v>
      </c>
      <c r="H16" t="e">
        <f>GETPIVOTDATA("delta Rct-a Slope",$A$4,"Chip Name","Chip 43","Protein","SCDU","Concentration","0pM_disso")</f>
        <v>#REF!</v>
      </c>
    </row>
    <row r="17" spans="1:12" x14ac:dyDescent="0.2">
      <c r="A17" s="5" t="s">
        <v>53</v>
      </c>
      <c r="B17" s="2">
        <v>0</v>
      </c>
      <c r="C17" s="2"/>
      <c r="D17" s="2">
        <v>0</v>
      </c>
      <c r="F17" t="str">
        <f t="shared" si="1"/>
        <v>100pM_asso</v>
      </c>
      <c r="G17" t="e">
        <f>GETPIVOTDATA("delta Rct-a Slope",$A$4,"Chip Name","Chip 32","Protein","HU","Concentration","0pM_disso")</f>
        <v>#REF!</v>
      </c>
      <c r="H17" t="e">
        <f>GETPIVOTDATA("delta Rct-a Slope",$A$4,"Chip Name","Chip 44","Protein","SCDU","Concentration","0pM_disso")</f>
        <v>#REF!</v>
      </c>
    </row>
    <row r="18" spans="1:12" x14ac:dyDescent="0.2">
      <c r="A18" s="5" t="s">
        <v>52</v>
      </c>
      <c r="B18" s="2">
        <v>0</v>
      </c>
      <c r="C18" s="2"/>
      <c r="D18" s="2">
        <v>0</v>
      </c>
      <c r="F18" t="str">
        <f t="shared" si="1"/>
        <v>100pM_asso</v>
      </c>
      <c r="G18" t="e">
        <f>GETPIVOTDATA("delta Rct-a Slope",$A$4,"Chip Name","Chip 45","Protein","HU","Concentration","0pM_disso")</f>
        <v>#REF!</v>
      </c>
      <c r="H18" t="e">
        <f>GETPIVOTDATA("delta Rct-a Slope",$A$4,"Chip Name","Chip 48","Protein","SCDU","Concentration","0pM_disso")</f>
        <v>#REF!</v>
      </c>
    </row>
    <row r="19" spans="1:12" x14ac:dyDescent="0.2">
      <c r="A19" s="4" t="s">
        <v>23</v>
      </c>
      <c r="B19" s="2">
        <v>-0.75475555555559182</v>
      </c>
      <c r="C19" s="2">
        <v>-0.4706000000000099</v>
      </c>
      <c r="D19" s="2">
        <v>-1.2253555555556015</v>
      </c>
      <c r="F19" t="str">
        <f t="shared" si="1"/>
        <v>100pM_asso</v>
      </c>
      <c r="G19" t="e">
        <f>GETPIVOTDATA("delta Rct-a Slope",$A$4,"Chip Name","Chip 52","Protein","HU","Concentration","0pM_disso")</f>
        <v>#REF!</v>
      </c>
    </row>
    <row r="20" spans="1:12" x14ac:dyDescent="0.2">
      <c r="A20" s="5" t="s">
        <v>48</v>
      </c>
      <c r="B20" s="2"/>
      <c r="C20" s="2">
        <v>0.30201111111110812</v>
      </c>
      <c r="D20" s="2">
        <v>0.30201111111110812</v>
      </c>
      <c r="F20" t="str">
        <f t="shared" si="1"/>
        <v>100pM_asso</v>
      </c>
      <c r="G20" t="e">
        <f>GETPIVOTDATA("delta Rct-a Slope",$A$4,"Chip Name","Chip 54","Protein","HU","Concentration","0pM_disso")</f>
        <v>#REF!</v>
      </c>
    </row>
    <row r="21" spans="1:12" x14ac:dyDescent="0.2">
      <c r="A21" s="5" t="s">
        <v>58</v>
      </c>
      <c r="B21" s="2">
        <v>0.48444444444444512</v>
      </c>
      <c r="C21" s="2"/>
      <c r="D21" s="2">
        <v>0.48444444444444512</v>
      </c>
      <c r="F21" t="str">
        <f t="shared" si="1"/>
        <v>100pM_asso</v>
      </c>
      <c r="G21" t="e">
        <f>GETPIVOTDATA("delta Rct-a Slope",$A$4,"Chip Name","Chip 56","Protein","HU","Concentration","0pM_disso")</f>
        <v>#REF!</v>
      </c>
    </row>
    <row r="22" spans="1:12" x14ac:dyDescent="0.2">
      <c r="A22" s="5" t="s">
        <v>59</v>
      </c>
      <c r="B22" s="2">
        <v>0.81139999999999568</v>
      </c>
      <c r="C22" s="2"/>
      <c r="D22" s="2">
        <v>0.81139999999999568</v>
      </c>
      <c r="F22" t="str">
        <f t="shared" si="1"/>
        <v>100pM_asso</v>
      </c>
      <c r="G22" t="e">
        <f>GETPIVOTDATA("delta Rct-a Slope",$A$4,"Chip Name","Chip 57","Protein","HU","Concentration","0pM_disso")</f>
        <v>#REF!</v>
      </c>
    </row>
    <row r="23" spans="1:12" x14ac:dyDescent="0.2">
      <c r="A23" s="5" t="s">
        <v>35</v>
      </c>
      <c r="B23" s="2">
        <v>0.43802222222222209</v>
      </c>
      <c r="C23" s="2"/>
      <c r="D23" s="2">
        <v>0.43802222222222209</v>
      </c>
      <c r="F23" t="str">
        <f>$A$32</f>
        <v>1nM_asso</v>
      </c>
      <c r="G23" t="e">
        <f>GETPIVOTDATA("delta Rct-a Slope",$A$4,"Chip Name","Chip 26","Protein","HU","Concentration","100nM_asso")</f>
        <v>#REF!</v>
      </c>
      <c r="H23" t="e">
        <f>GETPIVOTDATA("delta Rct-a Slope",$A$4,"Chip Name","Chip 23","Protein","SCDU","Concentration","100nM_asso")</f>
        <v>#REF!</v>
      </c>
    </row>
    <row r="24" spans="1:12" x14ac:dyDescent="0.2">
      <c r="A24" s="5" t="s">
        <v>45</v>
      </c>
      <c r="B24" s="2"/>
      <c r="C24" s="2">
        <v>-1.453711111111111</v>
      </c>
      <c r="D24" s="2">
        <v>-1.453711111111111</v>
      </c>
      <c r="F24" t="str">
        <f t="shared" ref="F24:F30" si="2">$A$32</f>
        <v>1nM_asso</v>
      </c>
      <c r="G24" t="e">
        <f>GETPIVOTDATA("delta Rct-a Slope",$A$4,"Chip Name","Chip 27","Protein","HU","Concentration","100nM_asso")</f>
        <v>#REF!</v>
      </c>
      <c r="H24" t="e">
        <f>GETPIVOTDATA("delta Rct-a Slope",$A$4,"Chip Name","Chip 43","Protein","SCDU","Concentration","100nM_asso")</f>
        <v>#REF!</v>
      </c>
    </row>
    <row r="25" spans="1:12" x14ac:dyDescent="0.2">
      <c r="A25" s="5" t="s">
        <v>39</v>
      </c>
      <c r="B25" s="2"/>
      <c r="C25" s="2">
        <v>0.62509999999999666</v>
      </c>
      <c r="D25" s="2">
        <v>0.62509999999999666</v>
      </c>
      <c r="F25" t="str">
        <f t="shared" si="2"/>
        <v>1nM_asso</v>
      </c>
      <c r="G25" t="e">
        <f>GETPIVOTDATA("delta Rct-a Slope",$A$4,"Chip Name","Chip 32","Protein","HU","Concentration","100nM_asso")</f>
        <v>#REF!</v>
      </c>
      <c r="H25" t="e">
        <f>GETPIVOTDATA("delta Rct-a Slope",$A$4,"Chip Name","Chip 44","Protein","SCDU","Concentration","100nM_asso")</f>
        <v>#REF!</v>
      </c>
    </row>
    <row r="26" spans="1:12" x14ac:dyDescent="0.2">
      <c r="A26" s="5" t="s">
        <v>31</v>
      </c>
      <c r="B26" s="2">
        <v>-0.95735555555556684</v>
      </c>
      <c r="C26" s="2"/>
      <c r="D26" s="2">
        <v>-0.95735555555556684</v>
      </c>
      <c r="F26" t="str">
        <f t="shared" si="2"/>
        <v>1nM_asso</v>
      </c>
      <c r="G26" t="e">
        <f>GETPIVOTDATA("delta Rct-a Slope",$A$4,"Chip Name","Chip 45","Protein","HU","Concentration","100nM_asso")</f>
        <v>#REF!</v>
      </c>
      <c r="H26" t="e">
        <f>GETPIVOTDATA("delta Rct-a Slope",$A$4,"Chip Name","Chip 48","Protein","SCDU","Concentration","100nM_asso")</f>
        <v>#REF!</v>
      </c>
      <c r="K26" t="s">
        <v>64</v>
      </c>
      <c r="L26" t="s">
        <v>65</v>
      </c>
    </row>
    <row r="27" spans="1:12" x14ac:dyDescent="0.2">
      <c r="A27" s="5" t="s">
        <v>36</v>
      </c>
      <c r="B27" s="2"/>
      <c r="C27" s="2">
        <v>5.5999999999996268E-2</v>
      </c>
      <c r="D27" s="2">
        <v>5.5999999999996268E-2</v>
      </c>
      <c r="F27" t="str">
        <f t="shared" si="2"/>
        <v>1nM_asso</v>
      </c>
      <c r="G27" t="e">
        <f>GETPIVOTDATA("delta Rct-a Slope",$A$4,"Chip Name","Chip 52","Protein","HU","Concentration","100nM_asso")</f>
        <v>#REF!</v>
      </c>
      <c r="K27" s="2">
        <v>-73.368072982456155</v>
      </c>
      <c r="L27" s="2">
        <v>-29.837883391812866</v>
      </c>
    </row>
    <row r="28" spans="1:12" x14ac:dyDescent="0.2">
      <c r="A28" s="5" t="s">
        <v>40</v>
      </c>
      <c r="B28" s="2">
        <v>-1.5583333333333409</v>
      </c>
      <c r="C28" s="2"/>
      <c r="D28" s="2">
        <v>-1.5583333333333409</v>
      </c>
      <c r="F28" t="str">
        <f t="shared" si="2"/>
        <v>1nM_asso</v>
      </c>
      <c r="G28" t="e">
        <f>GETPIVOTDATA("delta Rct-a Slope",$A$4,"Chip Name","Chip 54","Protein","HU","Concentration","100nM_asso")</f>
        <v>#REF!</v>
      </c>
    </row>
    <row r="29" spans="1:12" x14ac:dyDescent="0.2">
      <c r="A29" s="5" t="s">
        <v>46</v>
      </c>
      <c r="B29" s="2">
        <v>1.420566666666661</v>
      </c>
      <c r="C29" s="2"/>
      <c r="D29" s="2">
        <v>1.420566666666661</v>
      </c>
      <c r="F29" t="str">
        <f t="shared" si="2"/>
        <v>1nM_asso</v>
      </c>
      <c r="G29" t="e">
        <f>GETPIVOTDATA("delta Rct-a Slope",$A$4,"Chip Name","Chip 56","Protein","HU","Concentration","100nM_asso")</f>
        <v>#REF!</v>
      </c>
    </row>
    <row r="30" spans="1:12" x14ac:dyDescent="0.2">
      <c r="A30" s="5" t="s">
        <v>53</v>
      </c>
      <c r="B30" s="2">
        <v>-1.1924000000000059</v>
      </c>
      <c r="C30" s="2"/>
      <c r="D30" s="2">
        <v>-1.1924000000000059</v>
      </c>
      <c r="F30" t="str">
        <f t="shared" si="2"/>
        <v>1nM_asso</v>
      </c>
      <c r="G30" t="e">
        <f>GETPIVOTDATA("delta Rct-a Slope",$A$4,"Chip Name","Chip 57","Protein","HU","Concentration","100nM_asso")</f>
        <v>#REF!</v>
      </c>
    </row>
    <row r="31" spans="1:12" x14ac:dyDescent="0.2">
      <c r="A31" s="5" t="s">
        <v>52</v>
      </c>
      <c r="B31" s="2">
        <v>-0.20110000000000211</v>
      </c>
      <c r="C31" s="2"/>
      <c r="D31" s="2">
        <v>-0.20110000000000211</v>
      </c>
      <c r="F31" t="str">
        <f>$A$45</f>
        <v>10nM_asso</v>
      </c>
      <c r="G31" t="e">
        <f>GETPIVOTDATA("delta Rct-a Slope",$A$4,"Chip Name","Chip 26","Protein","HU","Concentration","100nM_disso")</f>
        <v>#REF!</v>
      </c>
      <c r="H31" t="e">
        <f>GETPIVOTDATA("delta Rct-a Slope",$A$4,"Chip Name","Chip 23","Protein","SCDU","Concentration","100nM_disso")</f>
        <v>#REF!</v>
      </c>
    </row>
    <row r="32" spans="1:12" x14ac:dyDescent="0.2">
      <c r="A32" s="4" t="s">
        <v>25</v>
      </c>
      <c r="B32" s="2">
        <v>-0.48105555555555268</v>
      </c>
      <c r="C32" s="2">
        <v>-1.0521444444444461</v>
      </c>
      <c r="D32" s="2">
        <v>-1.5331999999999988</v>
      </c>
      <c r="F32" t="str">
        <f t="shared" ref="F32:F38" si="3">$A$45</f>
        <v>10nM_asso</v>
      </c>
      <c r="G32" t="e">
        <f>GETPIVOTDATA("delta Rct-a Slope",$A$4,"Chip Name","Chip 27","Protein","HU","Concentration","100nM_disso")</f>
        <v>#REF!</v>
      </c>
      <c r="H32" t="e">
        <f>GETPIVOTDATA("delta Rct-a Slope",$A$4,"Chip Name","Chip 43","Protein","SCDU","Concentration","100nM_disso")</f>
        <v>#REF!</v>
      </c>
    </row>
    <row r="33" spans="1:8" x14ac:dyDescent="0.2">
      <c r="A33" s="5" t="s">
        <v>48</v>
      </c>
      <c r="B33" s="2"/>
      <c r="C33" s="2">
        <v>0.43797777777777558</v>
      </c>
      <c r="D33" s="2">
        <v>0.43797777777777558</v>
      </c>
      <c r="F33" t="str">
        <f t="shared" si="3"/>
        <v>10nM_asso</v>
      </c>
      <c r="G33" t="e">
        <f>GETPIVOTDATA("delta Rct-a Slope",$A$4,"Chip Name","Chip 32","Protein","HU","Concentration","100nM_disso")</f>
        <v>#REF!</v>
      </c>
      <c r="H33" t="e">
        <f>GETPIVOTDATA("delta Rct-a Slope",$A$4,"Chip Name","Chip 44","Protein","SCDU","Concentration","100nM_disso")</f>
        <v>#REF!</v>
      </c>
    </row>
    <row r="34" spans="1:8" x14ac:dyDescent="0.2">
      <c r="A34" s="5" t="s">
        <v>58</v>
      </c>
      <c r="B34" s="2">
        <v>0.27411111111111358</v>
      </c>
      <c r="C34" s="2"/>
      <c r="D34" s="2">
        <v>0.27411111111111358</v>
      </c>
      <c r="F34" t="str">
        <f t="shared" si="3"/>
        <v>10nM_asso</v>
      </c>
      <c r="G34" t="e">
        <f>GETPIVOTDATA("delta Rct-a Slope",$A$4,"Chip Name","Chip 45","Protein","HU","Concentration","100nM_disso")</f>
        <v>#REF!</v>
      </c>
      <c r="H34" t="e">
        <f>GETPIVOTDATA("delta Rct-a Slope",$A$4,"Chip Name","Chip 48","Protein","SCDU","Concentration","100nM_disso")</f>
        <v>#REF!</v>
      </c>
    </row>
    <row r="35" spans="1:8" x14ac:dyDescent="0.2">
      <c r="A35" s="5" t="s">
        <v>59</v>
      </c>
      <c r="B35" s="2">
        <v>0.66587777777777823</v>
      </c>
      <c r="C35" s="2"/>
      <c r="D35" s="2">
        <v>0.66587777777777823</v>
      </c>
      <c r="F35" t="str">
        <f t="shared" si="3"/>
        <v>10nM_asso</v>
      </c>
      <c r="G35" t="e">
        <f>GETPIVOTDATA("delta Rct-a Slope",$A$4,"Chip Name","Chip 52","Protein","HU","Concentration","100nM_disso")</f>
        <v>#REF!</v>
      </c>
    </row>
    <row r="36" spans="1:8" x14ac:dyDescent="0.2">
      <c r="A36" s="5" t="s">
        <v>35</v>
      </c>
      <c r="B36" s="2">
        <v>0.45271111111111217</v>
      </c>
      <c r="C36" s="2"/>
      <c r="D36" s="2">
        <v>0.45271111111111217</v>
      </c>
      <c r="F36" t="str">
        <f t="shared" si="3"/>
        <v>10nM_asso</v>
      </c>
      <c r="G36" t="e">
        <f>GETPIVOTDATA("delta Rct-a Slope",$A$4,"Chip Name","Chip 54","Protein","HU","Concentration","100nM_disso")</f>
        <v>#REF!</v>
      </c>
    </row>
    <row r="37" spans="1:8" x14ac:dyDescent="0.2">
      <c r="A37" s="5" t="s">
        <v>45</v>
      </c>
      <c r="B37" s="2"/>
      <c r="C37" s="2">
        <v>-1.9048222222222211</v>
      </c>
      <c r="D37" s="2">
        <v>-1.9048222222222211</v>
      </c>
      <c r="F37" t="str">
        <f t="shared" si="3"/>
        <v>10nM_asso</v>
      </c>
      <c r="G37" t="e">
        <f>GETPIVOTDATA("delta Rct-a Slope",$A$4,"Chip Name","Chip 56","Protein","HU","Concentration","100nM_disso")</f>
        <v>#REF!</v>
      </c>
    </row>
    <row r="38" spans="1:8" x14ac:dyDescent="0.2">
      <c r="A38" s="5" t="s">
        <v>39</v>
      </c>
      <c r="B38" s="2"/>
      <c r="C38" s="2">
        <v>0.77572222222221843</v>
      </c>
      <c r="D38" s="2">
        <v>0.77572222222221843</v>
      </c>
      <c r="F38" t="str">
        <f t="shared" si="3"/>
        <v>10nM_asso</v>
      </c>
      <c r="G38" t="e">
        <f>GETPIVOTDATA("delta Rct-a Slope",$A$4,"Chip Name","Chip 57","Protein","HU","Concentration","100nM_disso")</f>
        <v>#REF!</v>
      </c>
    </row>
    <row r="39" spans="1:8" x14ac:dyDescent="0.2">
      <c r="A39" s="5" t="s">
        <v>31</v>
      </c>
      <c r="B39" s="2">
        <v>-1.203633333333332</v>
      </c>
      <c r="C39" s="2"/>
      <c r="D39" s="2">
        <v>-1.203633333333332</v>
      </c>
      <c r="F39" t="str">
        <f>A58</f>
        <v>Chip 23</v>
      </c>
    </row>
    <row r="40" spans="1:8" x14ac:dyDescent="0.2">
      <c r="A40" s="5" t="s">
        <v>36</v>
      </c>
      <c r="B40" s="2"/>
      <c r="C40" s="2">
        <v>-0.36102222222221902</v>
      </c>
      <c r="D40" s="2">
        <v>-0.36102222222221902</v>
      </c>
    </row>
    <row r="41" spans="1:8" x14ac:dyDescent="0.2">
      <c r="A41" s="5" t="s">
        <v>40</v>
      </c>
      <c r="B41" s="2">
        <v>-0.69973333333333798</v>
      </c>
      <c r="C41" s="2"/>
      <c r="D41" s="2">
        <v>-0.69973333333333798</v>
      </c>
    </row>
    <row r="42" spans="1:8" x14ac:dyDescent="0.2">
      <c r="A42" s="5" t="s">
        <v>46</v>
      </c>
      <c r="B42" s="2">
        <v>1.2526444444444409</v>
      </c>
      <c r="C42" s="2"/>
      <c r="D42" s="2">
        <v>1.2526444444444409</v>
      </c>
    </row>
    <row r="43" spans="1:8" x14ac:dyDescent="0.2">
      <c r="A43" s="5" t="s">
        <v>53</v>
      </c>
      <c r="B43" s="2">
        <v>-1.113455555555555</v>
      </c>
      <c r="C43" s="2"/>
      <c r="D43" s="2">
        <v>-1.113455555555555</v>
      </c>
    </row>
    <row r="44" spans="1:8" x14ac:dyDescent="0.2">
      <c r="A44" s="5" t="s">
        <v>52</v>
      </c>
      <c r="B44" s="2">
        <v>-0.10957777777777269</v>
      </c>
      <c r="C44" s="2"/>
      <c r="D44" s="2">
        <v>-0.10957777777777269</v>
      </c>
      <c r="G44" s="2"/>
      <c r="H44" s="2">
        <v>-2.444977777777777</v>
      </c>
    </row>
    <row r="45" spans="1:8" x14ac:dyDescent="0.2">
      <c r="A45" s="4" t="s">
        <v>27</v>
      </c>
      <c r="B45" s="2">
        <v>2.3383999999999916</v>
      </c>
      <c r="C45" s="2">
        <v>-0.61583333333334145</v>
      </c>
      <c r="D45" s="2">
        <v>1.7225666666666499</v>
      </c>
      <c r="G45" s="2">
        <v>-2.291488888888888</v>
      </c>
      <c r="H45" s="2"/>
    </row>
    <row r="46" spans="1:8" x14ac:dyDescent="0.2">
      <c r="A46" s="5" t="s">
        <v>48</v>
      </c>
      <c r="B46" s="2"/>
      <c r="C46" s="2">
        <v>0.70955555555555194</v>
      </c>
      <c r="D46" s="2">
        <v>0.70955555555555194</v>
      </c>
      <c r="G46" s="2">
        <v>-2.6815333333333329</v>
      </c>
      <c r="H46" s="2"/>
    </row>
    <row r="47" spans="1:8" x14ac:dyDescent="0.2">
      <c r="A47" s="5" t="s">
        <v>58</v>
      </c>
      <c r="B47" s="2">
        <v>0.46201111111110921</v>
      </c>
      <c r="C47" s="2"/>
      <c r="D47" s="2">
        <v>0.46201111111110921</v>
      </c>
      <c r="G47" s="2">
        <v>-2.7214999999999989</v>
      </c>
      <c r="H47" s="2"/>
    </row>
    <row r="48" spans="1:8" x14ac:dyDescent="0.2">
      <c r="A48" s="5" t="s">
        <v>59</v>
      </c>
      <c r="B48" s="2">
        <v>0.79468888888888678</v>
      </c>
      <c r="C48" s="2"/>
      <c r="D48" s="2">
        <v>0.79468888888888678</v>
      </c>
      <c r="G48" s="2"/>
      <c r="H48" s="2">
        <v>-2.0001333333333342</v>
      </c>
    </row>
    <row r="49" spans="1:8" x14ac:dyDescent="0.2">
      <c r="A49" s="5" t="s">
        <v>35</v>
      </c>
      <c r="B49" s="2">
        <v>0.55022222222222172</v>
      </c>
      <c r="C49" s="2"/>
      <c r="D49" s="2">
        <v>0.55022222222222172</v>
      </c>
      <c r="G49" s="2"/>
      <c r="H49" s="2">
        <v>-3.0735333333333319</v>
      </c>
    </row>
    <row r="50" spans="1:8" x14ac:dyDescent="0.2">
      <c r="A50" s="5" t="s">
        <v>45</v>
      </c>
      <c r="B50" s="2"/>
      <c r="C50" s="2">
        <v>-1.8607222222222211</v>
      </c>
      <c r="D50" s="2">
        <v>-1.8607222222222211</v>
      </c>
      <c r="G50" s="2">
        <v>-1.90905555555555</v>
      </c>
      <c r="H50" s="2"/>
    </row>
    <row r="51" spans="1:8" x14ac:dyDescent="0.2">
      <c r="A51" s="5" t="s">
        <v>39</v>
      </c>
      <c r="B51" s="2"/>
      <c r="C51" s="2">
        <v>0.56432222222222084</v>
      </c>
      <c r="D51" s="2">
        <v>0.56432222222222084</v>
      </c>
      <c r="G51" s="2"/>
      <c r="H51" s="2">
        <v>-1.8526888888888891</v>
      </c>
    </row>
    <row r="52" spans="1:8" x14ac:dyDescent="0.2">
      <c r="A52" s="5" t="s">
        <v>36</v>
      </c>
      <c r="B52" s="2"/>
      <c r="C52" s="2">
        <v>-2.8988888888893172E-2</v>
      </c>
      <c r="D52" s="2">
        <v>-2.8988888888893172E-2</v>
      </c>
      <c r="G52" s="2">
        <v>-5.4101555555555558</v>
      </c>
      <c r="H52" s="2"/>
    </row>
    <row r="53" spans="1:8" x14ac:dyDescent="0.2">
      <c r="A53" s="5" t="s">
        <v>40</v>
      </c>
      <c r="B53" s="2">
        <v>-0.1164888888888926</v>
      </c>
      <c r="C53" s="2"/>
      <c r="D53" s="2">
        <v>-0.1164888888888926</v>
      </c>
      <c r="G53" s="2">
        <v>-4.9031222222222182</v>
      </c>
      <c r="H53" s="2"/>
    </row>
    <row r="54" spans="1:8" x14ac:dyDescent="0.2">
      <c r="A54" s="5" t="s">
        <v>46</v>
      </c>
      <c r="B54" s="2">
        <v>1.5732444444444471</v>
      </c>
      <c r="C54" s="2"/>
      <c r="D54" s="2">
        <v>1.5732444444444471</v>
      </c>
      <c r="G54" s="2">
        <v>-2.4498555555555561</v>
      </c>
      <c r="H54" s="2"/>
    </row>
    <row r="55" spans="1:8" x14ac:dyDescent="0.2">
      <c r="A55" s="5" t="s">
        <v>53</v>
      </c>
      <c r="B55" s="2">
        <v>-0.79158888888888823</v>
      </c>
      <c r="C55" s="2"/>
      <c r="D55" s="2">
        <v>-0.79158888888888823</v>
      </c>
      <c r="G55" s="2">
        <v>-3.1992444444444459</v>
      </c>
      <c r="H55" s="2"/>
    </row>
    <row r="56" spans="1:8" x14ac:dyDescent="0.2">
      <c r="A56" s="5" t="s">
        <v>52</v>
      </c>
      <c r="B56" s="2">
        <v>-0.13368888888889249</v>
      </c>
      <c r="C56" s="2"/>
      <c r="D56" s="2">
        <v>-0.13368888888889249</v>
      </c>
      <c r="G56">
        <f>AVERAGE(G45:G50)</f>
        <v>-2.4008944444444427</v>
      </c>
      <c r="H56">
        <f>AVERAGE(H44:H54)</f>
        <v>-2.3428333333333331</v>
      </c>
    </row>
    <row r="57" spans="1:8" x14ac:dyDescent="0.2">
      <c r="A57" s="4" t="s">
        <v>29</v>
      </c>
      <c r="B57" s="2">
        <v>2.307480994152042</v>
      </c>
      <c r="C57" s="2">
        <v>0.82882222222222257</v>
      </c>
      <c r="D57" s="2">
        <v>3.1363032163742646</v>
      </c>
      <c r="G57">
        <f>STDEV(G44:G55)</f>
        <v>1.2726622936668399</v>
      </c>
      <c r="H57">
        <f>STDEV(H44:H55)</f>
        <v>0.54834321489088445</v>
      </c>
    </row>
    <row r="58" spans="1:8" x14ac:dyDescent="0.2">
      <c r="A58" s="5" t="s">
        <v>48</v>
      </c>
      <c r="B58" s="2"/>
      <c r="C58" s="2">
        <v>0.68498888888889153</v>
      </c>
      <c r="D58" s="2">
        <v>0.68498888888889153</v>
      </c>
    </row>
    <row r="59" spans="1:8" x14ac:dyDescent="0.2">
      <c r="A59" s="5" t="s">
        <v>58</v>
      </c>
      <c r="B59" s="2">
        <v>0.37563333333333682</v>
      </c>
      <c r="C59" s="2"/>
      <c r="D59" s="2">
        <v>0.37563333333333682</v>
      </c>
      <c r="G59">
        <f>(G56-H56)/SQRT((G57^2/30)+(H57^2/30))</f>
        <v>-0.22948580171662392</v>
      </c>
    </row>
    <row r="60" spans="1:8" x14ac:dyDescent="0.2">
      <c r="A60" s="5" t="s">
        <v>59</v>
      </c>
      <c r="B60" s="2">
        <v>0.94304444444444324</v>
      </c>
      <c r="C60" s="2"/>
      <c r="D60" s="2">
        <v>0.94304444444444324</v>
      </c>
    </row>
    <row r="61" spans="1:8" x14ac:dyDescent="0.2">
      <c r="A61" s="5" t="s">
        <v>35</v>
      </c>
      <c r="B61" s="2">
        <v>0.46909999999999391</v>
      </c>
      <c r="C61" s="2"/>
      <c r="D61" s="2">
        <v>0.46909999999999391</v>
      </c>
    </row>
    <row r="62" spans="1:8" x14ac:dyDescent="0.2">
      <c r="A62" s="5" t="s">
        <v>45</v>
      </c>
      <c r="B62" s="2"/>
      <c r="C62" s="2">
        <v>-0.95207777777777647</v>
      </c>
      <c r="D62" s="2">
        <v>-0.95207777777777647</v>
      </c>
    </row>
    <row r="63" spans="1:8" x14ac:dyDescent="0.2">
      <c r="A63" s="5" t="s">
        <v>39</v>
      </c>
      <c r="B63" s="2"/>
      <c r="C63" s="2">
        <v>1.010422222222221</v>
      </c>
      <c r="D63" s="2">
        <v>1.010422222222221</v>
      </c>
    </row>
    <row r="64" spans="1:8" x14ac:dyDescent="0.2">
      <c r="A64" s="5" t="s">
        <v>31</v>
      </c>
      <c r="B64" s="2">
        <v>-1.426574561403507</v>
      </c>
      <c r="C64" s="2"/>
      <c r="D64" s="2">
        <v>-1.426574561403507</v>
      </c>
    </row>
    <row r="65" spans="1:4" x14ac:dyDescent="0.2">
      <c r="A65" s="5" t="s">
        <v>36</v>
      </c>
      <c r="B65" s="2"/>
      <c r="C65" s="2">
        <v>8.5488888888886505E-2</v>
      </c>
      <c r="D65" s="2">
        <v>8.5488888888886505E-2</v>
      </c>
    </row>
    <row r="66" spans="1:4" x14ac:dyDescent="0.2">
      <c r="A66" s="5" t="s">
        <v>40</v>
      </c>
      <c r="B66" s="2">
        <v>1.136666666666668</v>
      </c>
      <c r="C66" s="2"/>
      <c r="D66" s="2">
        <v>1.136666666666668</v>
      </c>
    </row>
    <row r="67" spans="1:4" x14ac:dyDescent="0.2">
      <c r="A67" s="5" t="s">
        <v>46</v>
      </c>
      <c r="B67" s="2">
        <v>1.7119111111111069</v>
      </c>
      <c r="C67" s="2"/>
      <c r="D67" s="2">
        <v>1.7119111111111069</v>
      </c>
    </row>
    <row r="68" spans="1:4" x14ac:dyDescent="0.2">
      <c r="A68" s="5" t="s">
        <v>53</v>
      </c>
      <c r="B68" s="2">
        <v>-1.0207333333333339</v>
      </c>
      <c r="C68" s="2"/>
      <c r="D68" s="2">
        <v>-1.0207333333333339</v>
      </c>
    </row>
    <row r="69" spans="1:4" x14ac:dyDescent="0.2">
      <c r="A69" s="5" t="s">
        <v>52</v>
      </c>
      <c r="B69" s="2">
        <v>0.11843333333333431</v>
      </c>
      <c r="C69" s="2"/>
      <c r="D69" s="2">
        <v>0.11843333333333431</v>
      </c>
    </row>
    <row r="70" spans="1:4" x14ac:dyDescent="0.2">
      <c r="A70" s="4" t="s">
        <v>22</v>
      </c>
      <c r="B70" s="2">
        <v>0</v>
      </c>
      <c r="C70" s="2">
        <v>0</v>
      </c>
      <c r="D70" s="2">
        <v>0</v>
      </c>
    </row>
    <row r="71" spans="1:4" x14ac:dyDescent="0.2">
      <c r="A71" s="5" t="s">
        <v>48</v>
      </c>
      <c r="B71" s="2"/>
      <c r="C71" s="2">
        <v>0</v>
      </c>
      <c r="D71" s="2">
        <v>0</v>
      </c>
    </row>
    <row r="72" spans="1:4" x14ac:dyDescent="0.2">
      <c r="A72" s="5" t="s">
        <v>58</v>
      </c>
      <c r="B72" s="2">
        <v>0</v>
      </c>
      <c r="C72" s="2"/>
      <c r="D72" s="2">
        <v>0</v>
      </c>
    </row>
    <row r="73" spans="1:4" x14ac:dyDescent="0.2">
      <c r="A73" s="5" t="s">
        <v>59</v>
      </c>
      <c r="B73" s="2">
        <v>0</v>
      </c>
      <c r="C73" s="2"/>
      <c r="D73" s="2">
        <v>0</v>
      </c>
    </row>
    <row r="74" spans="1:4" x14ac:dyDescent="0.2">
      <c r="A74" s="5" t="s">
        <v>35</v>
      </c>
      <c r="B74" s="2">
        <v>0</v>
      </c>
      <c r="C74" s="2"/>
      <c r="D74" s="2">
        <v>0</v>
      </c>
    </row>
    <row r="75" spans="1:4" x14ac:dyDescent="0.2">
      <c r="A75" s="5" t="s">
        <v>45</v>
      </c>
      <c r="B75" s="2"/>
      <c r="C75" s="2">
        <v>0</v>
      </c>
      <c r="D75" s="2">
        <v>0</v>
      </c>
    </row>
    <row r="76" spans="1:4" x14ac:dyDescent="0.2">
      <c r="A76" s="5" t="s">
        <v>39</v>
      </c>
      <c r="B76" s="2"/>
      <c r="C76" s="2">
        <v>0</v>
      </c>
      <c r="D76" s="2">
        <v>0</v>
      </c>
    </row>
    <row r="77" spans="1:4" x14ac:dyDescent="0.2">
      <c r="A77" s="5" t="s">
        <v>31</v>
      </c>
      <c r="B77" s="2">
        <v>0</v>
      </c>
      <c r="C77" s="2"/>
      <c r="D77" s="2">
        <v>0</v>
      </c>
    </row>
    <row r="78" spans="1:4" x14ac:dyDescent="0.2">
      <c r="A78" s="5" t="s">
        <v>36</v>
      </c>
      <c r="B78" s="2"/>
      <c r="C78" s="2">
        <v>0</v>
      </c>
      <c r="D78" s="2">
        <v>0</v>
      </c>
    </row>
    <row r="79" spans="1:4" x14ac:dyDescent="0.2">
      <c r="A79" s="5" t="s">
        <v>40</v>
      </c>
      <c r="B79" s="2">
        <v>0</v>
      </c>
      <c r="C79" s="2"/>
      <c r="D79" s="2">
        <v>0</v>
      </c>
    </row>
    <row r="80" spans="1:4" x14ac:dyDescent="0.2">
      <c r="A80" s="5" t="s">
        <v>46</v>
      </c>
      <c r="B80" s="2">
        <v>0</v>
      </c>
      <c r="C80" s="2"/>
      <c r="D80" s="2">
        <v>0</v>
      </c>
    </row>
    <row r="81" spans="1:4" x14ac:dyDescent="0.2">
      <c r="A81" s="5" t="s">
        <v>53</v>
      </c>
      <c r="B81" s="2">
        <v>0</v>
      </c>
      <c r="C81" s="2"/>
      <c r="D81" s="2">
        <v>0</v>
      </c>
    </row>
    <row r="82" spans="1:4" x14ac:dyDescent="0.2">
      <c r="A82" s="5" t="s">
        <v>52</v>
      </c>
      <c r="B82" s="2">
        <v>0</v>
      </c>
      <c r="C82" s="2"/>
      <c r="D82" s="2">
        <v>0</v>
      </c>
    </row>
    <row r="83" spans="1:4" x14ac:dyDescent="0.2">
      <c r="A83" s="4" t="s">
        <v>24</v>
      </c>
      <c r="B83" s="2">
        <v>0.44099210526315646</v>
      </c>
      <c r="C83" s="2">
        <v>0.15237263157894709</v>
      </c>
      <c r="D83" s="2">
        <v>0.59336473684210356</v>
      </c>
    </row>
    <row r="84" spans="1:4" x14ac:dyDescent="0.2">
      <c r="A84" s="5" t="s">
        <v>48</v>
      </c>
      <c r="B84" s="2"/>
      <c r="C84" s="2">
        <v>4.8657368421052727E-2</v>
      </c>
      <c r="D84" s="2">
        <v>4.8657368421052727E-2</v>
      </c>
    </row>
    <row r="85" spans="1:4" x14ac:dyDescent="0.2">
      <c r="A85" s="5" t="s">
        <v>58</v>
      </c>
      <c r="B85" s="2">
        <v>-7.2842631578947437E-2</v>
      </c>
      <c r="C85" s="2"/>
      <c r="D85" s="2">
        <v>-7.2842631578947437E-2</v>
      </c>
    </row>
    <row r="86" spans="1:4" x14ac:dyDescent="0.2">
      <c r="A86" s="5" t="s">
        <v>59</v>
      </c>
      <c r="B86" s="2">
        <v>9.6939999999999138E-2</v>
      </c>
      <c r="C86" s="2"/>
      <c r="D86" s="2">
        <v>9.6939999999999138E-2</v>
      </c>
    </row>
    <row r="87" spans="1:4" x14ac:dyDescent="0.2">
      <c r="A87" s="5" t="s">
        <v>35</v>
      </c>
      <c r="B87" s="2">
        <v>2.571578947368414E-2</v>
      </c>
      <c r="C87" s="2"/>
      <c r="D87" s="2">
        <v>2.571578947368414E-2</v>
      </c>
    </row>
    <row r="88" spans="1:4" x14ac:dyDescent="0.2">
      <c r="A88" s="5" t="s">
        <v>45</v>
      </c>
      <c r="B88" s="2"/>
      <c r="C88" s="2">
        <v>-7.8197368421053959E-2</v>
      </c>
      <c r="D88" s="2">
        <v>-7.8197368421053959E-2</v>
      </c>
    </row>
    <row r="89" spans="1:4" x14ac:dyDescent="0.2">
      <c r="A89" s="5" t="s">
        <v>39</v>
      </c>
      <c r="B89" s="2"/>
      <c r="C89" s="2">
        <v>0.18309947368421131</v>
      </c>
      <c r="D89" s="2">
        <v>0.18309947368421131</v>
      </c>
    </row>
    <row r="90" spans="1:4" x14ac:dyDescent="0.2">
      <c r="A90" s="5" t="s">
        <v>31</v>
      </c>
      <c r="B90" s="2">
        <v>0.26425999999999877</v>
      </c>
      <c r="C90" s="2"/>
      <c r="D90" s="2">
        <v>0.26425999999999877</v>
      </c>
    </row>
    <row r="91" spans="1:4" x14ac:dyDescent="0.2">
      <c r="A91" s="5" t="s">
        <v>36</v>
      </c>
      <c r="B91" s="2"/>
      <c r="C91" s="2">
        <v>-1.1868421052629861E-3</v>
      </c>
      <c r="D91" s="2">
        <v>-1.1868421052629861E-3</v>
      </c>
    </row>
    <row r="92" spans="1:4" x14ac:dyDescent="0.2">
      <c r="A92" s="5" t="s">
        <v>40</v>
      </c>
      <c r="B92" s="2">
        <v>2.1042105263156859E-2</v>
      </c>
      <c r="C92" s="2"/>
      <c r="D92" s="2">
        <v>2.1042105263156859E-2</v>
      </c>
    </row>
    <row r="93" spans="1:4" x14ac:dyDescent="0.2">
      <c r="A93" s="5" t="s">
        <v>46</v>
      </c>
      <c r="B93" s="2">
        <v>5.2549473684210923E-2</v>
      </c>
      <c r="C93" s="2"/>
      <c r="D93" s="2">
        <v>5.2549473684210923E-2</v>
      </c>
    </row>
    <row r="94" spans="1:4" x14ac:dyDescent="0.2">
      <c r="A94" s="5" t="s">
        <v>53</v>
      </c>
      <c r="B94" s="2">
        <v>-4.8039473684210243E-2</v>
      </c>
      <c r="C94" s="2"/>
      <c r="D94" s="2">
        <v>-4.8039473684210243E-2</v>
      </c>
    </row>
    <row r="95" spans="1:4" x14ac:dyDescent="0.2">
      <c r="A95" s="5" t="s">
        <v>52</v>
      </c>
      <c r="B95" s="2">
        <v>0.1013668421052643</v>
      </c>
      <c r="C95" s="2"/>
      <c r="D95" s="2">
        <v>0.1013668421052643</v>
      </c>
    </row>
    <row r="96" spans="1:4" x14ac:dyDescent="0.2">
      <c r="A96" s="4" t="s">
        <v>26</v>
      </c>
      <c r="B96" s="2">
        <v>-0.23619157894736806</v>
      </c>
      <c r="C96" s="2">
        <v>0.67684052631579128</v>
      </c>
      <c r="D96" s="2">
        <v>0.44064894736842319</v>
      </c>
    </row>
    <row r="97" spans="1:4" x14ac:dyDescent="0.2">
      <c r="A97" s="5" t="s">
        <v>48</v>
      </c>
      <c r="B97" s="2"/>
      <c r="C97" s="2">
        <v>0.21289736842105239</v>
      </c>
      <c r="D97" s="2">
        <v>0.21289736842105239</v>
      </c>
    </row>
    <row r="98" spans="1:4" x14ac:dyDescent="0.2">
      <c r="A98" s="5" t="s">
        <v>58</v>
      </c>
      <c r="B98" s="2">
        <v>-8.2377368421051145E-2</v>
      </c>
      <c r="C98" s="2"/>
      <c r="D98" s="2">
        <v>-8.2377368421051145E-2</v>
      </c>
    </row>
    <row r="99" spans="1:4" x14ac:dyDescent="0.2">
      <c r="A99" s="5" t="s">
        <v>59</v>
      </c>
      <c r="B99" s="2">
        <v>5.6452631578951529E-3</v>
      </c>
      <c r="C99" s="2"/>
      <c r="D99" s="2">
        <v>5.6452631578951529E-3</v>
      </c>
    </row>
    <row r="100" spans="1:4" x14ac:dyDescent="0.2">
      <c r="A100" s="5" t="s">
        <v>35</v>
      </c>
      <c r="B100" s="2">
        <v>5.0317894736843227E-2</v>
      </c>
      <c r="C100" s="2"/>
      <c r="D100" s="2">
        <v>5.0317894736843227E-2</v>
      </c>
    </row>
    <row r="101" spans="1:4" x14ac:dyDescent="0.2">
      <c r="A101" s="5" t="s">
        <v>45</v>
      </c>
      <c r="B101" s="2"/>
      <c r="C101" s="2">
        <v>7.7884210526317776E-2</v>
      </c>
      <c r="D101" s="2">
        <v>7.7884210526317776E-2</v>
      </c>
    </row>
    <row r="102" spans="1:4" x14ac:dyDescent="0.2">
      <c r="A102" s="5" t="s">
        <v>39</v>
      </c>
      <c r="B102" s="2"/>
      <c r="C102" s="2">
        <v>0.32118578947368492</v>
      </c>
      <c r="D102" s="2">
        <v>0.32118578947368492</v>
      </c>
    </row>
    <row r="103" spans="1:4" x14ac:dyDescent="0.2">
      <c r="A103" s="5" t="s">
        <v>31</v>
      </c>
      <c r="B103" s="2">
        <v>0.15468000000000059</v>
      </c>
      <c r="C103" s="2"/>
      <c r="D103" s="2">
        <v>0.15468000000000059</v>
      </c>
    </row>
    <row r="104" spans="1:4" x14ac:dyDescent="0.2">
      <c r="A104" s="5" t="s">
        <v>36</v>
      </c>
      <c r="B104" s="2"/>
      <c r="C104" s="2">
        <v>6.4873157894736133E-2</v>
      </c>
      <c r="D104" s="2">
        <v>6.4873157894736133E-2</v>
      </c>
    </row>
    <row r="105" spans="1:4" x14ac:dyDescent="0.2">
      <c r="A105" s="5" t="s">
        <v>40</v>
      </c>
      <c r="B105" s="2">
        <v>-0.1473157894736867</v>
      </c>
      <c r="C105" s="2"/>
      <c r="D105" s="2">
        <v>-0.1473157894736867</v>
      </c>
    </row>
    <row r="106" spans="1:4" x14ac:dyDescent="0.2">
      <c r="A106" s="5" t="s">
        <v>46</v>
      </c>
      <c r="B106" s="2">
        <v>-0.21066526315789449</v>
      </c>
      <c r="C106" s="2"/>
      <c r="D106" s="2">
        <v>-0.21066526315789449</v>
      </c>
    </row>
    <row r="107" spans="1:4" x14ac:dyDescent="0.2">
      <c r="A107" s="5" t="s">
        <v>53</v>
      </c>
      <c r="B107" s="2">
        <v>-0.1564263157894743</v>
      </c>
      <c r="C107" s="2"/>
      <c r="D107" s="2">
        <v>-0.1564263157894743</v>
      </c>
    </row>
    <row r="108" spans="1:4" x14ac:dyDescent="0.2">
      <c r="A108" s="5" t="s">
        <v>52</v>
      </c>
      <c r="B108" s="2">
        <v>0.14994999999999961</v>
      </c>
      <c r="C108" s="2"/>
      <c r="D108" s="2">
        <v>0.14994999999999961</v>
      </c>
    </row>
    <row r="109" spans="1:4" x14ac:dyDescent="0.2">
      <c r="A109" s="4" t="s">
        <v>28</v>
      </c>
      <c r="B109" s="2">
        <v>1.062366081871341</v>
      </c>
      <c r="C109" s="2">
        <v>0.42341842105263261</v>
      </c>
      <c r="D109" s="2">
        <v>1.4857845029239736</v>
      </c>
    </row>
    <row r="110" spans="1:4" x14ac:dyDescent="0.2">
      <c r="A110" s="5" t="s">
        <v>48</v>
      </c>
      <c r="B110" s="2"/>
      <c r="C110" s="2">
        <v>0.1034831578947364</v>
      </c>
      <c r="D110" s="2">
        <v>0.1034831578947364</v>
      </c>
    </row>
    <row r="111" spans="1:4" x14ac:dyDescent="0.2">
      <c r="A111" s="5" t="s">
        <v>58</v>
      </c>
      <c r="B111" s="2">
        <v>-0.1231247368421053</v>
      </c>
      <c r="C111" s="2"/>
      <c r="D111" s="2">
        <v>-0.1231247368421053</v>
      </c>
    </row>
    <row r="112" spans="1:4" x14ac:dyDescent="0.2">
      <c r="A112" s="5" t="s">
        <v>59</v>
      </c>
      <c r="B112" s="2">
        <v>6.5165789473683233E-2</v>
      </c>
      <c r="C112" s="2"/>
      <c r="D112" s="2">
        <v>6.5165789473683233E-2</v>
      </c>
    </row>
    <row r="113" spans="1:4" x14ac:dyDescent="0.2">
      <c r="A113" s="5" t="s">
        <v>35</v>
      </c>
      <c r="B113" s="2">
        <v>0.118241578947369</v>
      </c>
      <c r="C113" s="2"/>
      <c r="D113" s="2">
        <v>0.118241578947369</v>
      </c>
    </row>
    <row r="114" spans="1:4" x14ac:dyDescent="0.2">
      <c r="A114" s="5" t="s">
        <v>45</v>
      </c>
      <c r="B114" s="2"/>
      <c r="C114" s="2">
        <v>0.14954157894736839</v>
      </c>
      <c r="D114" s="2">
        <v>0.14954157894736839</v>
      </c>
    </row>
    <row r="115" spans="1:4" x14ac:dyDescent="0.2">
      <c r="A115" s="5" t="s">
        <v>39</v>
      </c>
      <c r="B115" s="2"/>
      <c r="C115" s="2">
        <v>0.14411263157894849</v>
      </c>
      <c r="D115" s="2">
        <v>0.14411263157894849</v>
      </c>
    </row>
    <row r="116" spans="1:4" x14ac:dyDescent="0.2">
      <c r="A116" s="5" t="s">
        <v>31</v>
      </c>
      <c r="B116" s="2">
        <v>0.69548397660818173</v>
      </c>
      <c r="C116" s="2"/>
      <c r="D116" s="2">
        <v>0.69548397660818173</v>
      </c>
    </row>
    <row r="117" spans="1:4" x14ac:dyDescent="0.2">
      <c r="A117" s="5" t="s">
        <v>36</v>
      </c>
      <c r="B117" s="2"/>
      <c r="C117" s="2">
        <v>2.6281052631579319E-2</v>
      </c>
      <c r="D117" s="2">
        <v>2.6281052631579319E-2</v>
      </c>
    </row>
    <row r="118" spans="1:4" x14ac:dyDescent="0.2">
      <c r="A118" s="5" t="s">
        <v>40</v>
      </c>
      <c r="B118" s="2">
        <v>1.24310526315794E-2</v>
      </c>
      <c r="C118" s="2"/>
      <c r="D118" s="2">
        <v>1.24310526315794E-2</v>
      </c>
    </row>
    <row r="119" spans="1:4" x14ac:dyDescent="0.2">
      <c r="A119" s="5" t="s">
        <v>46</v>
      </c>
      <c r="B119" s="2">
        <v>0.2245810526315781</v>
      </c>
      <c r="C119" s="2"/>
      <c r="D119" s="2">
        <v>0.2245810526315781</v>
      </c>
    </row>
    <row r="120" spans="1:4" x14ac:dyDescent="0.2">
      <c r="A120" s="5" t="s">
        <v>53</v>
      </c>
      <c r="B120" s="2">
        <v>-9.534999999999938E-2</v>
      </c>
      <c r="C120" s="2"/>
      <c r="D120" s="2">
        <v>-9.534999999999938E-2</v>
      </c>
    </row>
    <row r="121" spans="1:4" x14ac:dyDescent="0.2">
      <c r="A121" s="5" t="s">
        <v>52</v>
      </c>
      <c r="B121" s="2">
        <v>0.16493736842105419</v>
      </c>
      <c r="C121" s="2"/>
      <c r="D121" s="2">
        <v>0.16493736842105419</v>
      </c>
    </row>
    <row r="122" spans="1:4" x14ac:dyDescent="0.2">
      <c r="A122" s="4" t="s">
        <v>30</v>
      </c>
      <c r="B122" s="2">
        <v>1.1009066081871319</v>
      </c>
      <c r="C122" s="2">
        <v>0.55023157894736652</v>
      </c>
      <c r="D122" s="2">
        <v>1.6511381871344986</v>
      </c>
    </row>
    <row r="123" spans="1:4" x14ac:dyDescent="0.2">
      <c r="A123" s="5" t="s">
        <v>48</v>
      </c>
      <c r="B123" s="2"/>
      <c r="C123" s="2">
        <v>0.18414315789473609</v>
      </c>
      <c r="D123" s="2">
        <v>0.18414315789473609</v>
      </c>
    </row>
    <row r="124" spans="1:4" x14ac:dyDescent="0.2">
      <c r="A124" s="5" t="s">
        <v>58</v>
      </c>
      <c r="B124" s="2">
        <v>2.049736842105299E-2</v>
      </c>
      <c r="C124" s="2"/>
      <c r="D124" s="2">
        <v>2.049736842105299E-2</v>
      </c>
    </row>
    <row r="125" spans="1:4" x14ac:dyDescent="0.2">
      <c r="A125" s="5" t="s">
        <v>59</v>
      </c>
      <c r="B125" s="2">
        <v>0.1154000000000011</v>
      </c>
      <c r="C125" s="2"/>
      <c r="D125" s="2">
        <v>0.1154000000000011</v>
      </c>
    </row>
    <row r="126" spans="1:4" x14ac:dyDescent="0.2">
      <c r="A126" s="5" t="s">
        <v>35</v>
      </c>
      <c r="B126" s="2">
        <v>0.18876526315789621</v>
      </c>
      <c r="C126" s="2"/>
      <c r="D126" s="2">
        <v>0.18876526315789621</v>
      </c>
    </row>
    <row r="127" spans="1:4" x14ac:dyDescent="0.2">
      <c r="A127" s="5" t="s">
        <v>45</v>
      </c>
      <c r="B127" s="2"/>
      <c r="C127" s="2">
        <v>3.2187894736842797E-2</v>
      </c>
      <c r="D127" s="2">
        <v>3.2187894736842797E-2</v>
      </c>
    </row>
    <row r="128" spans="1:4" x14ac:dyDescent="0.2">
      <c r="A128" s="5" t="s">
        <v>39</v>
      </c>
      <c r="B128" s="2"/>
      <c r="C128" s="2">
        <v>0.29507578947368368</v>
      </c>
      <c r="D128" s="2">
        <v>0.29507578947368368</v>
      </c>
    </row>
    <row r="129" spans="1:4" x14ac:dyDescent="0.2">
      <c r="A129" s="5" t="s">
        <v>31</v>
      </c>
      <c r="B129" s="2">
        <v>0.69745502923976055</v>
      </c>
      <c r="C129" s="2"/>
      <c r="D129" s="2">
        <v>0.69745502923976055</v>
      </c>
    </row>
    <row r="130" spans="1:4" x14ac:dyDescent="0.2">
      <c r="A130" s="5" t="s">
        <v>36</v>
      </c>
      <c r="B130" s="2"/>
      <c r="C130" s="2">
        <v>3.8824736842103968E-2</v>
      </c>
      <c r="D130" s="2">
        <v>3.8824736842103968E-2</v>
      </c>
    </row>
    <row r="131" spans="1:4" x14ac:dyDescent="0.2">
      <c r="A131" s="5" t="s">
        <v>40</v>
      </c>
      <c r="B131" s="2">
        <v>-0.22287631578947659</v>
      </c>
      <c r="C131" s="2"/>
      <c r="D131" s="2">
        <v>-0.22287631578947659</v>
      </c>
    </row>
    <row r="132" spans="1:4" x14ac:dyDescent="0.2">
      <c r="A132" s="5" t="s">
        <v>46</v>
      </c>
      <c r="B132" s="2">
        <v>3.8085263157895399E-2</v>
      </c>
      <c r="C132" s="2"/>
      <c r="D132" s="2">
        <v>3.8085263157895399E-2</v>
      </c>
    </row>
    <row r="133" spans="1:4" x14ac:dyDescent="0.2">
      <c r="A133" s="5" t="s">
        <v>53</v>
      </c>
      <c r="B133" s="2">
        <v>-5.5856315789473372E-2</v>
      </c>
      <c r="C133" s="2"/>
      <c r="D133" s="2">
        <v>-5.5856315789473372E-2</v>
      </c>
    </row>
    <row r="134" spans="1:4" x14ac:dyDescent="0.2">
      <c r="A134" s="5" t="s">
        <v>52</v>
      </c>
      <c r="B134" s="2">
        <v>0.31943631578947568</v>
      </c>
      <c r="C134" s="2"/>
      <c r="D134" s="2">
        <v>0.31943631578947568</v>
      </c>
    </row>
    <row r="135" spans="1:4" x14ac:dyDescent="0.2">
      <c r="A135" s="4" t="s">
        <v>63</v>
      </c>
      <c r="B135" s="2">
        <v>5.7781430994151499</v>
      </c>
      <c r="C135" s="2">
        <v>0.49310760233916262</v>
      </c>
      <c r="D135" s="2">
        <v>6.2712507017543127</v>
      </c>
    </row>
  </sheetData>
  <pageMargins left="0.7" right="0.7" top="0.75" bottom="0.75" header="0.3" footer="0.3"/>
  <pageSetup orientation="portrait" horizontalDpi="0" verticalDpi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0"/>
  <sheetViews>
    <sheetView topLeftCell="A8" workbookViewId="0">
      <selection activeCell="G4" sqref="G4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-24.174055555555562</v>
      </c>
      <c r="G2">
        <v>0.98904995672501295</v>
      </c>
      <c r="H2">
        <v>72.054222140693454</v>
      </c>
      <c r="I2">
        <v>0.69406821879343217</v>
      </c>
      <c r="J2">
        <v>0</v>
      </c>
      <c r="K2">
        <v>0</v>
      </c>
      <c r="L2">
        <v>2136.7287895317709</v>
      </c>
      <c r="M2">
        <v>-1.2716677434357291E-2</v>
      </c>
      <c r="N2">
        <v>0.99266098899816302</v>
      </c>
      <c r="O2">
        <v>952.29409392924697</v>
      </c>
      <c r="P2">
        <v>4.790732804351968E-2</v>
      </c>
      <c r="Q2">
        <v>0.6864823520108565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-14.87170736842106</v>
      </c>
      <c r="G3">
        <v>0.99191446705947028</v>
      </c>
      <c r="H3">
        <v>592.093604483391</v>
      </c>
      <c r="I3">
        <v>0.55404222010259696</v>
      </c>
      <c r="J3">
        <v>0</v>
      </c>
      <c r="K3">
        <v>0</v>
      </c>
      <c r="L3">
        <v>2021.7103062762969</v>
      </c>
      <c r="M3">
        <v>-8.4625945395461512E-3</v>
      </c>
      <c r="N3">
        <v>0.99540743276647103</v>
      </c>
      <c r="O3">
        <v>3205.5873628741078</v>
      </c>
      <c r="P3">
        <v>5.5859644499965957E-2</v>
      </c>
      <c r="Q3">
        <v>0.46455320856418009</v>
      </c>
    </row>
    <row r="4" spans="1:17" x14ac:dyDescent="0.2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-29.618133333333329</v>
      </c>
      <c r="G4">
        <v>0.95501473508907031</v>
      </c>
      <c r="H4">
        <v>40.560280344058206</v>
      </c>
      <c r="I4">
        <v>0.41857999107847738</v>
      </c>
      <c r="J4">
        <v>-5.444077777777764</v>
      </c>
      <c r="K4">
        <v>-31.493941796635241</v>
      </c>
      <c r="L4">
        <v>2299.0626130493119</v>
      </c>
      <c r="M4">
        <v>-1.484221415964059E-2</v>
      </c>
      <c r="N4">
        <v>0.96422400163805766</v>
      </c>
      <c r="O4">
        <v>896.76873786737417</v>
      </c>
      <c r="P4">
        <v>3.5386897895061553E-2</v>
      </c>
      <c r="Q4">
        <v>0.4551129207764063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-15.57599157894737</v>
      </c>
      <c r="G5">
        <v>0.9936370479351061</v>
      </c>
      <c r="H5">
        <v>596.15351279111405</v>
      </c>
      <c r="I5">
        <v>0.54089217601224115</v>
      </c>
      <c r="J5">
        <v>-0.70428421052631407</v>
      </c>
      <c r="K5">
        <v>4.0599083077230489</v>
      </c>
      <c r="L5">
        <v>2025.766375751047</v>
      </c>
      <c r="M5">
        <v>-8.8933815300002803E-3</v>
      </c>
      <c r="N5">
        <v>0.99569189112621592</v>
      </c>
      <c r="O5">
        <v>3344.8426195702182</v>
      </c>
      <c r="P5">
        <v>5.4631932448910112E-2</v>
      </c>
      <c r="Q5">
        <v>0.44847908559619981</v>
      </c>
    </row>
    <row r="6" spans="1:17" x14ac:dyDescent="0.2">
      <c r="A6" t="s">
        <v>17</v>
      </c>
      <c r="B6" t="s">
        <v>18</v>
      </c>
      <c r="C6" t="s">
        <v>19</v>
      </c>
      <c r="D6" t="s">
        <v>20</v>
      </c>
      <c r="E6" t="s">
        <v>25</v>
      </c>
      <c r="F6">
        <v>-26.79664444444445</v>
      </c>
      <c r="G6">
        <v>0.95159249656669187</v>
      </c>
      <c r="H6">
        <v>48.35215438220056</v>
      </c>
      <c r="I6">
        <v>0.50429285071491325</v>
      </c>
      <c r="J6">
        <v>-2.6225888888888851</v>
      </c>
      <c r="K6">
        <v>-23.702067758492891</v>
      </c>
      <c r="L6">
        <v>2236.9983358809709</v>
      </c>
      <c r="M6">
        <v>-1.363572448399805E-2</v>
      </c>
      <c r="N6">
        <v>0.95938386280732657</v>
      </c>
      <c r="O6">
        <v>930.19813451531218</v>
      </c>
      <c r="P6">
        <v>3.6853291246337939E-2</v>
      </c>
      <c r="Q6">
        <v>0.50367938045711069</v>
      </c>
    </row>
    <row r="7" spans="1:17" x14ac:dyDescent="0.2">
      <c r="A7" t="s">
        <v>17</v>
      </c>
      <c r="B7" t="s">
        <v>18</v>
      </c>
      <c r="C7" t="s">
        <v>19</v>
      </c>
      <c r="D7" t="s">
        <v>20</v>
      </c>
      <c r="E7" t="s">
        <v>26</v>
      </c>
      <c r="F7">
        <v>-13.846527894736839</v>
      </c>
      <c r="G7">
        <v>0.98544867492446442</v>
      </c>
      <c r="H7">
        <v>632.34998704750387</v>
      </c>
      <c r="I7">
        <v>0.65677029201735548</v>
      </c>
      <c r="J7">
        <v>1.025179473684213</v>
      </c>
      <c r="K7">
        <v>40.256382564112869</v>
      </c>
      <c r="L7">
        <v>1990.8074195081419</v>
      </c>
      <c r="M7">
        <v>-7.9508254157440589E-3</v>
      </c>
      <c r="N7">
        <v>0.99065976783122123</v>
      </c>
      <c r="O7">
        <v>611.29726337600141</v>
      </c>
      <c r="P7">
        <v>0.1150233271779563</v>
      </c>
      <c r="Q7">
        <v>0.7524951684810538</v>
      </c>
    </row>
    <row r="8" spans="1:17" x14ac:dyDescent="0.2">
      <c r="A8" t="s">
        <v>17</v>
      </c>
      <c r="B8" t="s">
        <v>18</v>
      </c>
      <c r="C8" t="s">
        <v>19</v>
      </c>
      <c r="D8" t="s">
        <v>20</v>
      </c>
      <c r="E8" t="s">
        <v>27</v>
      </c>
      <c r="F8">
        <v>-25.098055555555572</v>
      </c>
      <c r="G8">
        <v>0.94971488990894737</v>
      </c>
      <c r="H8">
        <v>50.630198096125767</v>
      </c>
      <c r="I8">
        <v>0.62527943740299508</v>
      </c>
      <c r="J8">
        <v>-0.92400000000000659</v>
      </c>
      <c r="K8">
        <v>-21.424024044567691</v>
      </c>
      <c r="L8">
        <v>2174.5843226149868</v>
      </c>
      <c r="M8">
        <v>-1.3063299538904061E-2</v>
      </c>
      <c r="N8">
        <v>0.95686938886479478</v>
      </c>
      <c r="O8">
        <v>869.15358547659889</v>
      </c>
      <c r="P8">
        <v>4.0196700439803369E-2</v>
      </c>
      <c r="Q8">
        <v>0.62772134395116785</v>
      </c>
    </row>
    <row r="9" spans="1:17" x14ac:dyDescent="0.2">
      <c r="A9" t="s">
        <v>17</v>
      </c>
      <c r="B9" t="s">
        <v>18</v>
      </c>
      <c r="C9" t="s">
        <v>19</v>
      </c>
      <c r="D9" t="s">
        <v>20</v>
      </c>
      <c r="E9" t="s">
        <v>28</v>
      </c>
      <c r="F9">
        <v>-13.393556315789469</v>
      </c>
      <c r="G9">
        <v>0.98253493402514769</v>
      </c>
      <c r="H9">
        <v>278.01434576240098</v>
      </c>
      <c r="I9">
        <v>0.26718922807682671</v>
      </c>
      <c r="J9">
        <v>1.4781510526315831</v>
      </c>
      <c r="K9">
        <v>-314.07925872099003</v>
      </c>
      <c r="L9">
        <v>1977.358614401559</v>
      </c>
      <c r="M9">
        <v>-7.713195369457501E-3</v>
      </c>
      <c r="N9">
        <v>0.98763940259648542</v>
      </c>
      <c r="O9">
        <v>105.768116432155</v>
      </c>
      <c r="P9">
        <v>0.1551897441262835</v>
      </c>
      <c r="Q9">
        <v>0.39995284502993689</v>
      </c>
    </row>
    <row r="10" spans="1:17" x14ac:dyDescent="0.2">
      <c r="A10" t="s">
        <v>17</v>
      </c>
      <c r="B10" t="s">
        <v>18</v>
      </c>
      <c r="C10" t="s">
        <v>19</v>
      </c>
      <c r="D10" t="s">
        <v>20</v>
      </c>
      <c r="E10" t="s">
        <v>29</v>
      </c>
      <c r="F10">
        <v>-22.732711111111112</v>
      </c>
      <c r="G10">
        <v>0.95639600615534293</v>
      </c>
      <c r="H10">
        <v>-0.36982179674671672</v>
      </c>
      <c r="I10">
        <v>5.935627335607041E-5</v>
      </c>
      <c r="J10">
        <v>1.4413444444444501</v>
      </c>
      <c r="K10">
        <v>-72.424043937440175</v>
      </c>
      <c r="L10">
        <v>1691.1608244983511</v>
      </c>
      <c r="M10">
        <v>-1.557080624167597E-2</v>
      </c>
      <c r="N10">
        <v>0.96466483101788736</v>
      </c>
      <c r="O10">
        <v>995.2318464633147</v>
      </c>
      <c r="P10">
        <v>-3.8892166804752602E-4</v>
      </c>
      <c r="Q10">
        <v>6.1901359814542367E-5</v>
      </c>
    </row>
    <row r="11" spans="1:17" x14ac:dyDescent="0.2">
      <c r="A11" t="s">
        <v>17</v>
      </c>
      <c r="B11" t="s">
        <v>18</v>
      </c>
      <c r="C11" t="s">
        <v>19</v>
      </c>
      <c r="D11" t="s">
        <v>20</v>
      </c>
      <c r="E11" t="s">
        <v>30</v>
      </c>
      <c r="F11">
        <v>-12.71851894736842</v>
      </c>
      <c r="G11">
        <v>0.98622152071103208</v>
      </c>
      <c r="H11">
        <v>28.14188456830178</v>
      </c>
      <c r="I11">
        <v>0.52208226298948568</v>
      </c>
      <c r="J11">
        <v>2.153188421052636</v>
      </c>
      <c r="K11">
        <v>-563.95171991508926</v>
      </c>
      <c r="L11">
        <v>1935.9996866715221</v>
      </c>
      <c r="M11">
        <v>-7.4375272174555147E-3</v>
      </c>
      <c r="N11">
        <v>0.98992452416777676</v>
      </c>
      <c r="O11">
        <v>1291.6750862780129</v>
      </c>
      <c r="P11">
        <v>1.555896395822263E-2</v>
      </c>
      <c r="Q11">
        <v>0.48574221514556792</v>
      </c>
    </row>
    <row r="12" spans="1:17" x14ac:dyDescent="0.2">
      <c r="A12" t="s">
        <v>31</v>
      </c>
      <c r="B12" t="s">
        <v>32</v>
      </c>
      <c r="C12" t="s">
        <v>33</v>
      </c>
      <c r="D12" t="s">
        <v>34</v>
      </c>
      <c r="E12" t="s">
        <v>21</v>
      </c>
      <c r="F12">
        <v>-1.90905555555555</v>
      </c>
      <c r="G12">
        <v>0.8736944619958289</v>
      </c>
      <c r="H12">
        <v>-4.02584576631721</v>
      </c>
      <c r="I12">
        <v>3.4535319535515363E-2</v>
      </c>
      <c r="J12">
        <v>0</v>
      </c>
      <c r="K12">
        <v>0</v>
      </c>
      <c r="L12">
        <v>107.2238012359884</v>
      </c>
      <c r="M12">
        <v>-2.1841774844704051E-2</v>
      </c>
      <c r="N12">
        <v>0.8837276689986644</v>
      </c>
      <c r="O12">
        <v>279.31854311425832</v>
      </c>
      <c r="P12">
        <v>-1.5661351772066422E-2</v>
      </c>
      <c r="Q12">
        <v>3.2646190184057788E-2</v>
      </c>
    </row>
    <row r="13" spans="1:17" x14ac:dyDescent="0.2">
      <c r="A13" t="s">
        <v>31</v>
      </c>
      <c r="B13" t="s">
        <v>32</v>
      </c>
      <c r="C13" t="s">
        <v>33</v>
      </c>
      <c r="D13" t="s">
        <v>34</v>
      </c>
      <c r="E13" t="s">
        <v>22</v>
      </c>
      <c r="F13">
        <v>-1.3072921052631581</v>
      </c>
      <c r="G13">
        <v>0.93963691029506691</v>
      </c>
      <c r="H13">
        <v>-1.878106067459693</v>
      </c>
      <c r="I13">
        <v>2.3446967299602609E-2</v>
      </c>
      <c r="J13">
        <v>0</v>
      </c>
      <c r="K13">
        <v>0</v>
      </c>
      <c r="L13">
        <v>103.8738560485348</v>
      </c>
      <c r="M13">
        <v>-1.6680379390910081E-2</v>
      </c>
      <c r="N13">
        <v>0.95575896900267454</v>
      </c>
      <c r="O13">
        <v>196.32248433864751</v>
      </c>
      <c r="P13">
        <v>-1.2944863925719851E-2</v>
      </c>
      <c r="Q13">
        <v>2.5940075535253241E-2</v>
      </c>
    </row>
    <row r="14" spans="1:17" x14ac:dyDescent="0.2">
      <c r="A14" t="s">
        <v>31</v>
      </c>
      <c r="B14" t="s">
        <v>32</v>
      </c>
      <c r="C14" t="s">
        <v>33</v>
      </c>
      <c r="D14" t="s">
        <v>34</v>
      </c>
      <c r="E14" t="s">
        <v>23</v>
      </c>
      <c r="F14">
        <v>-2.866411111111117</v>
      </c>
      <c r="G14">
        <v>0.92143938029502703</v>
      </c>
      <c r="H14">
        <v>-11.2752640175226</v>
      </c>
      <c r="I14">
        <v>0.68392576459036714</v>
      </c>
      <c r="J14">
        <v>-0.95735555555556684</v>
      </c>
      <c r="K14">
        <v>-7.2494182512053937</v>
      </c>
      <c r="L14">
        <v>138.72775602428339</v>
      </c>
      <c r="M14">
        <v>-2.664327312097409E-2</v>
      </c>
      <c r="N14">
        <v>0.93962094347185288</v>
      </c>
      <c r="O14">
        <v>447.74827141842218</v>
      </c>
      <c r="P14">
        <v>-3.4412838419541743E-2</v>
      </c>
      <c r="Q14">
        <v>0.69226286731725317</v>
      </c>
    </row>
    <row r="15" spans="1:17" x14ac:dyDescent="0.2">
      <c r="A15" t="s">
        <v>31</v>
      </c>
      <c r="B15" t="s">
        <v>32</v>
      </c>
      <c r="C15" t="s">
        <v>33</v>
      </c>
      <c r="D15" t="s">
        <v>34</v>
      </c>
      <c r="E15" t="s">
        <v>24</v>
      </c>
      <c r="F15">
        <v>-1.043032105263159</v>
      </c>
      <c r="G15">
        <v>0.900684114455791</v>
      </c>
      <c r="H15">
        <v>-4.9880394990412169</v>
      </c>
      <c r="I15">
        <v>0.16713737056437511</v>
      </c>
      <c r="J15">
        <v>0.26425999999999877</v>
      </c>
      <c r="K15">
        <v>-3.1099334315815228</v>
      </c>
      <c r="L15">
        <v>98.518511697998392</v>
      </c>
      <c r="M15">
        <v>-1.3286722993583159E-2</v>
      </c>
      <c r="N15">
        <v>0.91403752140251504</v>
      </c>
      <c r="O15">
        <v>281.02397044825818</v>
      </c>
      <c r="P15">
        <v>-2.666650652829456E-2</v>
      </c>
      <c r="Q15">
        <v>0.16541868516044039</v>
      </c>
    </row>
    <row r="16" spans="1:17" x14ac:dyDescent="0.2">
      <c r="A16" t="s">
        <v>31</v>
      </c>
      <c r="B16" t="s">
        <v>32</v>
      </c>
      <c r="C16" t="s">
        <v>33</v>
      </c>
      <c r="D16" t="s">
        <v>34</v>
      </c>
      <c r="E16" t="s">
        <v>25</v>
      </c>
      <c r="F16">
        <v>-3.112688888888882</v>
      </c>
      <c r="G16">
        <v>0.93148907414076021</v>
      </c>
      <c r="H16">
        <v>-16.104498660055238</v>
      </c>
      <c r="I16">
        <v>0.6188977755345404</v>
      </c>
      <c r="J16">
        <v>-1.203633333333332</v>
      </c>
      <c r="K16">
        <v>-12.078652893738029</v>
      </c>
      <c r="L16">
        <v>145.73420183298779</v>
      </c>
      <c r="M16">
        <v>-2.7667758184518169E-2</v>
      </c>
      <c r="N16">
        <v>0.94571913721023626</v>
      </c>
      <c r="O16">
        <v>465.35205705020923</v>
      </c>
      <c r="P16">
        <v>-4.7473591753075042E-2</v>
      </c>
      <c r="Q16">
        <v>0.56193206063108714</v>
      </c>
    </row>
    <row r="17" spans="1:17" x14ac:dyDescent="0.2">
      <c r="A17" t="s">
        <v>31</v>
      </c>
      <c r="B17" t="s">
        <v>32</v>
      </c>
      <c r="C17" t="s">
        <v>33</v>
      </c>
      <c r="D17" t="s">
        <v>34</v>
      </c>
      <c r="E17" t="s">
        <v>26</v>
      </c>
      <c r="F17">
        <v>-1.152612105263157</v>
      </c>
      <c r="G17">
        <v>0.93229126427694287</v>
      </c>
      <c r="H17">
        <v>-5.7718003662075414</v>
      </c>
      <c r="I17">
        <v>0.26120563139894848</v>
      </c>
      <c r="J17">
        <v>0.15468000000000059</v>
      </c>
      <c r="K17">
        <v>-3.8936942987478469</v>
      </c>
      <c r="L17">
        <v>101.9438587725525</v>
      </c>
      <c r="M17">
        <v>-1.455431797558626E-2</v>
      </c>
      <c r="N17">
        <v>0.95143513480663922</v>
      </c>
      <c r="O17">
        <v>316.94502221818891</v>
      </c>
      <c r="P17">
        <v>-2.5031366022893669E-2</v>
      </c>
      <c r="Q17">
        <v>0.24222307676120169</v>
      </c>
    </row>
    <row r="18" spans="1:17" x14ac:dyDescent="0.2">
      <c r="A18" t="s">
        <v>31</v>
      </c>
      <c r="B18" t="s">
        <v>32</v>
      </c>
      <c r="C18" t="s">
        <v>33</v>
      </c>
      <c r="D18" t="s">
        <v>34</v>
      </c>
      <c r="E18" t="s">
        <v>28</v>
      </c>
      <c r="F18">
        <v>-1.213571578947368</v>
      </c>
      <c r="G18">
        <v>0.92701871954787984</v>
      </c>
      <c r="H18">
        <v>4.2230487669369633E-2</v>
      </c>
      <c r="I18">
        <v>1.107504371511414E-5</v>
      </c>
      <c r="J18">
        <v>0.69548397660818173</v>
      </c>
      <c r="K18">
        <v>4.0680762539865798</v>
      </c>
      <c r="L18">
        <v>101.6644594368029</v>
      </c>
      <c r="M18">
        <v>-1.5537615104748629E-2</v>
      </c>
      <c r="N18">
        <v>0.94238358106714371</v>
      </c>
      <c r="O18">
        <v>200.15569455203749</v>
      </c>
      <c r="P18">
        <v>2.6623871013851269E-4</v>
      </c>
      <c r="Q18">
        <v>1.3976813477034609E-5</v>
      </c>
    </row>
    <row r="19" spans="1:17" x14ac:dyDescent="0.2">
      <c r="A19" t="s">
        <v>31</v>
      </c>
      <c r="B19" t="s">
        <v>32</v>
      </c>
      <c r="C19" t="s">
        <v>33</v>
      </c>
      <c r="D19" t="s">
        <v>34</v>
      </c>
      <c r="E19" t="s">
        <v>29</v>
      </c>
      <c r="F19">
        <v>-2.7338666666666649</v>
      </c>
      <c r="G19">
        <v>0.97300799357925627</v>
      </c>
      <c r="H19">
        <v>-6.7294275223691447</v>
      </c>
      <c r="I19">
        <v>8.5982365548102568E-2</v>
      </c>
      <c r="J19">
        <v>-1.426574561403507</v>
      </c>
      <c r="K19">
        <v>-4.851321454909451</v>
      </c>
      <c r="L19">
        <v>126.2144545018199</v>
      </c>
      <c r="M19">
        <v>-2.7877629895201601E-2</v>
      </c>
      <c r="N19">
        <v>0.97983752979914684</v>
      </c>
      <c r="O19">
        <v>316.78978822269221</v>
      </c>
      <c r="P19">
        <v>-2.415126302752256E-2</v>
      </c>
      <c r="Q19">
        <v>7.8781205058102488E-2</v>
      </c>
    </row>
    <row r="20" spans="1:17" x14ac:dyDescent="0.2">
      <c r="A20" t="s">
        <v>31</v>
      </c>
      <c r="B20" t="s">
        <v>32</v>
      </c>
      <c r="C20" t="s">
        <v>33</v>
      </c>
      <c r="D20" t="s">
        <v>34</v>
      </c>
      <c r="E20" t="s">
        <v>30</v>
      </c>
      <c r="F20">
        <v>-1.211600526315789</v>
      </c>
      <c r="G20">
        <v>0.95036124427843827</v>
      </c>
      <c r="H20">
        <v>-3.346274535984481</v>
      </c>
      <c r="I20">
        <v>7.3397069444370744E-2</v>
      </c>
      <c r="J20">
        <v>0.69745502923976055</v>
      </c>
      <c r="K20">
        <v>0.67957123033272904</v>
      </c>
      <c r="L20">
        <v>103.2640373475767</v>
      </c>
      <c r="M20">
        <v>-1.518225997709062E-2</v>
      </c>
      <c r="N20">
        <v>0.96563275296986495</v>
      </c>
      <c r="O20">
        <v>272.55479101344139</v>
      </c>
      <c r="P20">
        <v>-1.5808037847137989E-2</v>
      </c>
      <c r="Q20">
        <v>7.3441450579856626E-2</v>
      </c>
    </row>
    <row r="21" spans="1:17" x14ac:dyDescent="0.2">
      <c r="A21" t="s">
        <v>35</v>
      </c>
      <c r="B21" t="s">
        <v>18</v>
      </c>
      <c r="C21" t="s">
        <v>33</v>
      </c>
      <c r="D21" t="s">
        <v>34</v>
      </c>
      <c r="E21" t="s">
        <v>21</v>
      </c>
      <c r="F21">
        <v>-2.7214999999999989</v>
      </c>
      <c r="G21">
        <v>0.97798255654171573</v>
      </c>
      <c r="H21">
        <v>1.6705442825129851E-2</v>
      </c>
      <c r="I21">
        <v>3.5314920299178709E-7</v>
      </c>
      <c r="J21">
        <v>0</v>
      </c>
      <c r="K21">
        <v>0</v>
      </c>
      <c r="L21">
        <v>151.96650480543309</v>
      </c>
      <c r="M21">
        <v>-2.1904459325206731E-2</v>
      </c>
      <c r="N21">
        <v>0.98563275843162679</v>
      </c>
      <c r="O21">
        <v>271.63104744327501</v>
      </c>
      <c r="P21">
        <v>7.8866094120165587E-5</v>
      </c>
      <c r="Q21">
        <v>4.4386279629549108E-7</v>
      </c>
    </row>
    <row r="22" spans="1:17" x14ac:dyDescent="0.2">
      <c r="A22" t="s">
        <v>35</v>
      </c>
      <c r="B22" t="s">
        <v>18</v>
      </c>
      <c r="C22" t="s">
        <v>33</v>
      </c>
      <c r="D22" t="s">
        <v>34</v>
      </c>
      <c r="E22" t="s">
        <v>22</v>
      </c>
      <c r="F22">
        <v>-1.5140994736842119</v>
      </c>
      <c r="G22">
        <v>0.96566508779209137</v>
      </c>
      <c r="H22">
        <v>-2.0676623292322982</v>
      </c>
      <c r="I22">
        <v>2.5635536388460171E-2</v>
      </c>
      <c r="J22">
        <v>0</v>
      </c>
      <c r="K22">
        <v>0</v>
      </c>
      <c r="L22">
        <v>129.95424474637139</v>
      </c>
      <c r="M22">
        <v>-1.502484922974183E-2</v>
      </c>
      <c r="N22">
        <v>0.98039616127140738</v>
      </c>
      <c r="O22">
        <v>327.00425822255141</v>
      </c>
      <c r="P22">
        <v>-7.3251075721124034E-3</v>
      </c>
      <c r="Q22">
        <v>2.6372749361425859E-2</v>
      </c>
    </row>
    <row r="23" spans="1:17" x14ac:dyDescent="0.2">
      <c r="A23" t="s">
        <v>35</v>
      </c>
      <c r="B23" t="s">
        <v>18</v>
      </c>
      <c r="C23" t="s">
        <v>33</v>
      </c>
      <c r="D23" t="s">
        <v>34</v>
      </c>
      <c r="E23" t="s">
        <v>23</v>
      </c>
      <c r="F23">
        <v>-2.2834777777777768</v>
      </c>
      <c r="G23">
        <v>0.95194481291844935</v>
      </c>
      <c r="H23">
        <v>0.33555431043570821</v>
      </c>
      <c r="I23">
        <v>6.0580524742570585E-4</v>
      </c>
      <c r="J23">
        <v>0.43802222222222209</v>
      </c>
      <c r="K23">
        <v>0.31884886761057829</v>
      </c>
      <c r="L23">
        <v>108.4655702077187</v>
      </c>
      <c r="M23">
        <v>-2.703760624187676E-2</v>
      </c>
      <c r="N23">
        <v>0.96347198730331318</v>
      </c>
      <c r="O23">
        <v>231.14451600307231</v>
      </c>
      <c r="P23">
        <v>1.574158598257282E-3</v>
      </c>
      <c r="Q23">
        <v>6.6656217706440035E-4</v>
      </c>
    </row>
    <row r="24" spans="1:17" x14ac:dyDescent="0.2">
      <c r="A24" t="s">
        <v>35</v>
      </c>
      <c r="B24" t="s">
        <v>18</v>
      </c>
      <c r="C24" t="s">
        <v>33</v>
      </c>
      <c r="D24" t="s">
        <v>34</v>
      </c>
      <c r="E24" t="s">
        <v>24</v>
      </c>
      <c r="F24">
        <v>-1.488383684210528</v>
      </c>
      <c r="G24">
        <v>0.94731497890517147</v>
      </c>
      <c r="H24">
        <v>-1.6330084500958479</v>
      </c>
      <c r="I24">
        <v>2.6477717980199818E-2</v>
      </c>
      <c r="J24">
        <v>2.571578947368414E-2</v>
      </c>
      <c r="K24">
        <v>0.43465387913644998</v>
      </c>
      <c r="L24">
        <v>132.691807314019</v>
      </c>
      <c r="M24">
        <v>-1.440174766716952E-2</v>
      </c>
      <c r="N24">
        <v>0.96670009416568858</v>
      </c>
      <c r="O24">
        <v>285.47626214053707</v>
      </c>
      <c r="P24">
        <v>-6.4086046290347601E-3</v>
      </c>
      <c r="Q24">
        <v>2.6754969430206169E-2</v>
      </c>
    </row>
    <row r="25" spans="1:17" x14ac:dyDescent="0.2">
      <c r="A25" t="s">
        <v>35</v>
      </c>
      <c r="B25" t="s">
        <v>18</v>
      </c>
      <c r="C25" t="s">
        <v>33</v>
      </c>
      <c r="D25" t="s">
        <v>34</v>
      </c>
      <c r="E25" t="s">
        <v>25</v>
      </c>
      <c r="F25">
        <v>-2.2687888888888872</v>
      </c>
      <c r="G25">
        <v>0.91297001414329126</v>
      </c>
      <c r="H25">
        <v>5.1171058817149424</v>
      </c>
      <c r="I25">
        <v>0.46111266660510769</v>
      </c>
      <c r="J25">
        <v>0.45271111111111217</v>
      </c>
      <c r="K25">
        <v>5.100400438889813</v>
      </c>
      <c r="L25">
        <v>103.8554854179802</v>
      </c>
      <c r="M25">
        <v>-2.8697062126953509E-2</v>
      </c>
      <c r="N25">
        <v>0.93179556700773802</v>
      </c>
      <c r="O25">
        <v>243.0594277386511</v>
      </c>
      <c r="P25">
        <v>1.7457921461620118E-2</v>
      </c>
      <c r="Q25">
        <v>0.44860600605304302</v>
      </c>
    </row>
    <row r="26" spans="1:17" x14ac:dyDescent="0.2">
      <c r="A26" t="s">
        <v>35</v>
      </c>
      <c r="B26" t="s">
        <v>18</v>
      </c>
      <c r="C26" t="s">
        <v>33</v>
      </c>
      <c r="D26" t="s">
        <v>34</v>
      </c>
      <c r="E26" t="s">
        <v>26</v>
      </c>
      <c r="F26">
        <v>-1.463781578947368</v>
      </c>
      <c r="G26">
        <v>0.95663168234521223</v>
      </c>
      <c r="H26">
        <v>-3.91009339582024</v>
      </c>
      <c r="I26">
        <v>0.1162701379466259</v>
      </c>
      <c r="J26">
        <v>5.0317894736843227E-2</v>
      </c>
      <c r="K26">
        <v>-1.842431066587942</v>
      </c>
      <c r="L26">
        <v>130.27283291068039</v>
      </c>
      <c r="M26">
        <v>-1.43365875159659E-2</v>
      </c>
      <c r="N26">
        <v>0.97096754303285282</v>
      </c>
      <c r="O26">
        <v>280.57148404915262</v>
      </c>
      <c r="P26">
        <v>-2.026263890660723E-2</v>
      </c>
      <c r="Q26">
        <v>0.1234630802308084</v>
      </c>
    </row>
    <row r="27" spans="1:17" x14ac:dyDescent="0.2">
      <c r="A27" t="s">
        <v>35</v>
      </c>
      <c r="B27" t="s">
        <v>18</v>
      </c>
      <c r="C27" t="s">
        <v>33</v>
      </c>
      <c r="D27" t="s">
        <v>34</v>
      </c>
      <c r="E27" t="s">
        <v>27</v>
      </c>
      <c r="F27">
        <v>-2.1712777777777781</v>
      </c>
      <c r="G27">
        <v>0.9349539694373028</v>
      </c>
      <c r="H27">
        <v>0.82047813776161627</v>
      </c>
      <c r="I27">
        <v>2.6376131132485488E-2</v>
      </c>
      <c r="J27">
        <v>0.55022222222222172</v>
      </c>
      <c r="K27">
        <v>0.8037726949364864</v>
      </c>
      <c r="L27">
        <v>104.434848404134</v>
      </c>
      <c r="M27">
        <v>-2.6866411728982721E-2</v>
      </c>
      <c r="N27">
        <v>0.9535968953284637</v>
      </c>
      <c r="O27">
        <v>245.5171654460427</v>
      </c>
      <c r="P27">
        <v>3.4130858579254652E-3</v>
      </c>
      <c r="Q27">
        <v>2.778018360099432E-2</v>
      </c>
    </row>
    <row r="28" spans="1:17" x14ac:dyDescent="0.2">
      <c r="A28" t="s">
        <v>35</v>
      </c>
      <c r="B28" t="s">
        <v>18</v>
      </c>
      <c r="C28" t="s">
        <v>33</v>
      </c>
      <c r="D28" t="s">
        <v>34</v>
      </c>
      <c r="E28" t="s">
        <v>28</v>
      </c>
      <c r="F28">
        <v>-1.395857894736843</v>
      </c>
      <c r="G28">
        <v>0.93858525328653919</v>
      </c>
      <c r="H28">
        <v>-2.7764755953599169</v>
      </c>
      <c r="I28">
        <v>8.4341262477161338E-2</v>
      </c>
      <c r="J28">
        <v>0.118241578947369</v>
      </c>
      <c r="K28">
        <v>-0.70881326612761919</v>
      </c>
      <c r="L28">
        <v>127.39679935912829</v>
      </c>
      <c r="M28">
        <v>-1.397690647767747E-2</v>
      </c>
      <c r="N28">
        <v>0.95781868455762942</v>
      </c>
      <c r="O28">
        <v>299.32316240867249</v>
      </c>
      <c r="P28">
        <v>-1.076634854481149E-2</v>
      </c>
      <c r="Q28">
        <v>8.2344691057536168E-2</v>
      </c>
    </row>
    <row r="29" spans="1:17" x14ac:dyDescent="0.2">
      <c r="A29" t="s">
        <v>35</v>
      </c>
      <c r="B29" t="s">
        <v>18</v>
      </c>
      <c r="C29" t="s">
        <v>33</v>
      </c>
      <c r="D29" t="s">
        <v>34</v>
      </c>
      <c r="E29" t="s">
        <v>29</v>
      </c>
      <c r="F29">
        <v>-2.252400000000006</v>
      </c>
      <c r="G29">
        <v>0.94279516192390544</v>
      </c>
      <c r="H29">
        <v>-9.2654923132574236</v>
      </c>
      <c r="I29">
        <v>0.21215790154241951</v>
      </c>
      <c r="J29">
        <v>0.46909999999999391</v>
      </c>
      <c r="K29">
        <v>-9.282197756082553</v>
      </c>
      <c r="L29">
        <v>95.808159878778937</v>
      </c>
      <c r="M29">
        <v>-3.1326751239754577E-2</v>
      </c>
      <c r="N29">
        <v>0.95439778532951502</v>
      </c>
      <c r="O29">
        <v>363.04057475718821</v>
      </c>
      <c r="P29">
        <v>-3.1449965843066828E-2</v>
      </c>
      <c r="Q29">
        <v>0.19857547076845791</v>
      </c>
    </row>
    <row r="30" spans="1:17" x14ac:dyDescent="0.2">
      <c r="A30" t="s">
        <v>35</v>
      </c>
      <c r="B30" t="s">
        <v>18</v>
      </c>
      <c r="C30" t="s">
        <v>33</v>
      </c>
      <c r="D30" t="s">
        <v>34</v>
      </c>
      <c r="E30" t="s">
        <v>30</v>
      </c>
      <c r="F30">
        <v>-1.3253342105263159</v>
      </c>
      <c r="G30">
        <v>0.95814496653514103</v>
      </c>
      <c r="H30">
        <v>-1.5732736784888861</v>
      </c>
      <c r="I30">
        <v>2.6092986654521869E-2</v>
      </c>
      <c r="J30">
        <v>0.18876526315789621</v>
      </c>
      <c r="K30">
        <v>0.49438865074341187</v>
      </c>
      <c r="L30">
        <v>123.22525925522589</v>
      </c>
      <c r="M30">
        <v>-1.356171369166684E-2</v>
      </c>
      <c r="N30">
        <v>0.97274888364157952</v>
      </c>
      <c r="O30">
        <v>257.59925536888949</v>
      </c>
      <c r="P30">
        <v>-6.792080637313163E-3</v>
      </c>
      <c r="Q30">
        <v>2.601799452539522E-2</v>
      </c>
    </row>
    <row r="31" spans="1:17" x14ac:dyDescent="0.2">
      <c r="A31" t="s">
        <v>36</v>
      </c>
      <c r="B31" t="s">
        <v>37</v>
      </c>
      <c r="C31" t="s">
        <v>33</v>
      </c>
      <c r="D31" t="s">
        <v>20</v>
      </c>
      <c r="E31" t="s">
        <v>21</v>
      </c>
      <c r="F31">
        <v>-1.8526888888888891</v>
      </c>
      <c r="G31">
        <v>0.96052981799928661</v>
      </c>
      <c r="H31">
        <v>-4.1443840664292582</v>
      </c>
      <c r="I31">
        <v>0.42314273541126762</v>
      </c>
      <c r="J31">
        <v>0</v>
      </c>
      <c r="K31">
        <v>0</v>
      </c>
      <c r="L31">
        <v>98.852494080346261</v>
      </c>
      <c r="M31">
        <v>-2.3080756179637001E-2</v>
      </c>
      <c r="N31">
        <v>0.96483490676307027</v>
      </c>
      <c r="O31">
        <v>340.09168107731591</v>
      </c>
      <c r="P31">
        <v>-1.421349678463589E-2</v>
      </c>
      <c r="Q31">
        <v>0.4349483073440038</v>
      </c>
    </row>
    <row r="32" spans="1:17" x14ac:dyDescent="0.2">
      <c r="A32" t="s">
        <v>36</v>
      </c>
      <c r="B32" t="s">
        <v>37</v>
      </c>
      <c r="C32" t="s">
        <v>33</v>
      </c>
      <c r="D32" t="s">
        <v>20</v>
      </c>
      <c r="E32" t="s">
        <v>22</v>
      </c>
      <c r="F32">
        <v>-1.0712531578947371</v>
      </c>
      <c r="G32">
        <v>0.95030778067078092</v>
      </c>
      <c r="H32">
        <v>-4.2457688658689534</v>
      </c>
      <c r="I32">
        <v>0.15969273401345141</v>
      </c>
      <c r="J32">
        <v>0</v>
      </c>
      <c r="K32">
        <v>0</v>
      </c>
      <c r="L32">
        <v>91.302153685042754</v>
      </c>
      <c r="M32">
        <v>-1.519310980127269E-2</v>
      </c>
      <c r="N32">
        <v>0.96611080324270893</v>
      </c>
      <c r="O32">
        <v>279.85377747607652</v>
      </c>
      <c r="P32">
        <v>-2.3330512926061611E-2</v>
      </c>
      <c r="Q32">
        <v>0.17021890791510341</v>
      </c>
    </row>
    <row r="33" spans="1:17" x14ac:dyDescent="0.2">
      <c r="A33" t="s">
        <v>36</v>
      </c>
      <c r="B33" t="s">
        <v>37</v>
      </c>
      <c r="C33" t="s">
        <v>33</v>
      </c>
      <c r="D33" t="s">
        <v>20</v>
      </c>
      <c r="E33" t="s">
        <v>23</v>
      </c>
      <c r="F33">
        <v>-1.796688888888893</v>
      </c>
      <c r="G33">
        <v>0.92226532794152494</v>
      </c>
      <c r="H33">
        <v>-1.33557738195093</v>
      </c>
      <c r="I33">
        <v>1.9754285241461611E-2</v>
      </c>
      <c r="J33">
        <v>5.5999999999996268E-2</v>
      </c>
      <c r="K33">
        <v>2.8088066844783279</v>
      </c>
      <c r="L33">
        <v>88.56413797551663</v>
      </c>
      <c r="M33">
        <v>-2.5981546166281649E-2</v>
      </c>
      <c r="N33">
        <v>0.93940207141093079</v>
      </c>
      <c r="O33">
        <v>278.2202749484083</v>
      </c>
      <c r="P33">
        <v>-5.5644818900183373E-3</v>
      </c>
      <c r="Q33">
        <v>2.178063994572688E-2</v>
      </c>
    </row>
    <row r="34" spans="1:17" x14ac:dyDescent="0.2">
      <c r="A34" t="s">
        <v>36</v>
      </c>
      <c r="B34" t="s">
        <v>37</v>
      </c>
      <c r="C34" t="s">
        <v>33</v>
      </c>
      <c r="D34" t="s">
        <v>20</v>
      </c>
      <c r="E34" t="s">
        <v>24</v>
      </c>
      <c r="F34">
        <v>-1.0724400000000001</v>
      </c>
      <c r="G34">
        <v>0.96326843184462985</v>
      </c>
      <c r="H34">
        <v>-1.4286569243028799</v>
      </c>
      <c r="I34">
        <v>1.613447620920461E-2</v>
      </c>
      <c r="J34">
        <v>-1.1868421052629861E-3</v>
      </c>
      <c r="K34">
        <v>2.8171119415660728</v>
      </c>
      <c r="L34">
        <v>90.948207259499299</v>
      </c>
      <c r="M34">
        <v>-1.5279267878837981E-2</v>
      </c>
      <c r="N34">
        <v>0.97863503355427051</v>
      </c>
      <c r="O34">
        <v>199.2209169021522</v>
      </c>
      <c r="P34">
        <v>-9.0086320359975842E-3</v>
      </c>
      <c r="Q34">
        <v>1.750178846236039E-2</v>
      </c>
    </row>
    <row r="35" spans="1:17" x14ac:dyDescent="0.2">
      <c r="A35" t="s">
        <v>36</v>
      </c>
      <c r="B35" t="s">
        <v>37</v>
      </c>
      <c r="C35" t="s">
        <v>33</v>
      </c>
      <c r="D35" t="s">
        <v>20</v>
      </c>
      <c r="E35" t="s">
        <v>25</v>
      </c>
      <c r="F35">
        <v>-2.2137111111111079</v>
      </c>
      <c r="G35">
        <v>0.93288242951640521</v>
      </c>
      <c r="H35">
        <v>-3.3216189980425881</v>
      </c>
      <c r="I35">
        <v>8.0107994996810872E-3</v>
      </c>
      <c r="J35">
        <v>-0.36102222222221902</v>
      </c>
      <c r="K35">
        <v>0.82276506838667007</v>
      </c>
      <c r="L35">
        <v>94.792835976734864</v>
      </c>
      <c r="M35">
        <v>-3.1251215044499292E-2</v>
      </c>
      <c r="N35">
        <v>0.94891070351859808</v>
      </c>
      <c r="O35">
        <v>224.43172787006341</v>
      </c>
      <c r="P35">
        <v>-1.427076758337891E-2</v>
      </c>
      <c r="Q35">
        <v>6.8223202442688757E-3</v>
      </c>
    </row>
    <row r="36" spans="1:17" x14ac:dyDescent="0.2">
      <c r="A36" t="s">
        <v>36</v>
      </c>
      <c r="B36" t="s">
        <v>37</v>
      </c>
      <c r="C36" t="s">
        <v>33</v>
      </c>
      <c r="D36" t="s">
        <v>20</v>
      </c>
      <c r="E36" t="s">
        <v>26</v>
      </c>
      <c r="F36">
        <v>-1.0063800000000009</v>
      </c>
      <c r="G36">
        <v>0.92794894660422234</v>
      </c>
      <c r="H36">
        <v>-7.5938982196547098</v>
      </c>
      <c r="I36">
        <v>0.26272963730120352</v>
      </c>
      <c r="J36">
        <v>6.4873157894736133E-2</v>
      </c>
      <c r="K36">
        <v>-3.3481293537857559</v>
      </c>
      <c r="L36">
        <v>90.513755583313412</v>
      </c>
      <c r="M36">
        <v>-1.4256534623975621E-2</v>
      </c>
      <c r="N36">
        <v>0.94772075616904683</v>
      </c>
      <c r="O36">
        <v>328.05890519807201</v>
      </c>
      <c r="P36">
        <v>-3.8296457668179851E-2</v>
      </c>
      <c r="Q36">
        <v>0.2442670198399999</v>
      </c>
    </row>
    <row r="37" spans="1:17" x14ac:dyDescent="0.2">
      <c r="A37" t="s">
        <v>36</v>
      </c>
      <c r="B37" t="s">
        <v>37</v>
      </c>
      <c r="C37" t="s">
        <v>33</v>
      </c>
      <c r="D37" t="s">
        <v>20</v>
      </c>
      <c r="E37" t="s">
        <v>27</v>
      </c>
      <c r="F37">
        <v>-1.881677777777782</v>
      </c>
      <c r="G37">
        <v>0.93754130220916188</v>
      </c>
      <c r="H37">
        <v>-7.0022032849379956</v>
      </c>
      <c r="I37">
        <v>0.1047830036140075</v>
      </c>
      <c r="J37">
        <v>-2.8988888888893172E-2</v>
      </c>
      <c r="K37">
        <v>-2.8578192185087379</v>
      </c>
      <c r="L37">
        <v>87.496141853042758</v>
      </c>
      <c r="M37">
        <v>-2.7902203349474752E-2</v>
      </c>
      <c r="N37">
        <v>0.95154889670996556</v>
      </c>
      <c r="O37">
        <v>295.10110450375942</v>
      </c>
      <c r="P37">
        <v>-3.9974924272596232E-2</v>
      </c>
      <c r="Q37">
        <v>0.12506367492052259</v>
      </c>
    </row>
    <row r="38" spans="1:17" x14ac:dyDescent="0.2">
      <c r="A38" t="s">
        <v>36</v>
      </c>
      <c r="B38" t="s">
        <v>37</v>
      </c>
      <c r="C38" t="s">
        <v>33</v>
      </c>
      <c r="D38" t="s">
        <v>20</v>
      </c>
      <c r="E38" t="s">
        <v>28</v>
      </c>
      <c r="F38">
        <v>-1.044972105263158</v>
      </c>
      <c r="G38">
        <v>0.93756874262353629</v>
      </c>
      <c r="H38">
        <v>-2.0245073136332739</v>
      </c>
      <c r="I38">
        <v>3.2490237844967518E-2</v>
      </c>
      <c r="J38">
        <v>2.6281052631579319E-2</v>
      </c>
      <c r="K38">
        <v>2.22126155223568</v>
      </c>
      <c r="L38">
        <v>90.993043357584071</v>
      </c>
      <c r="M38">
        <v>-1.483580901907307E-2</v>
      </c>
      <c r="N38">
        <v>0.95607529013999926</v>
      </c>
      <c r="O38">
        <v>234.9454707789109</v>
      </c>
      <c r="P38">
        <v>-1.008581828530688E-2</v>
      </c>
      <c r="Q38">
        <v>3.238071427390643E-2</v>
      </c>
    </row>
    <row r="39" spans="1:17" x14ac:dyDescent="0.2">
      <c r="A39" t="s">
        <v>36</v>
      </c>
      <c r="B39" t="s">
        <v>37</v>
      </c>
      <c r="C39" t="s">
        <v>33</v>
      </c>
      <c r="D39" t="s">
        <v>20</v>
      </c>
      <c r="E39" t="s">
        <v>29</v>
      </c>
      <c r="F39">
        <v>-1.7672000000000021</v>
      </c>
      <c r="G39">
        <v>0.90664482632036481</v>
      </c>
      <c r="H39">
        <v>-5.4216215517156927</v>
      </c>
      <c r="I39">
        <v>6.3311406419524929E-2</v>
      </c>
      <c r="J39">
        <v>8.5488888888886505E-2</v>
      </c>
      <c r="K39">
        <v>-1.277237485286435</v>
      </c>
      <c r="L39">
        <v>78.300678492600269</v>
      </c>
      <c r="M39">
        <v>-3.0267694844225309E-2</v>
      </c>
      <c r="N39">
        <v>0.93202186520386543</v>
      </c>
      <c r="O39">
        <v>234.2964291556338</v>
      </c>
      <c r="P39">
        <v>-3.5734387588979961E-2</v>
      </c>
      <c r="Q39">
        <v>7.1559686009332046E-2</v>
      </c>
    </row>
    <row r="40" spans="1:17" x14ac:dyDescent="0.2">
      <c r="A40" t="s">
        <v>36</v>
      </c>
      <c r="B40" t="s">
        <v>37</v>
      </c>
      <c r="C40" t="s">
        <v>33</v>
      </c>
      <c r="D40" t="s">
        <v>20</v>
      </c>
      <c r="E40" t="s">
        <v>30</v>
      </c>
      <c r="F40">
        <v>-1.0324284210526331</v>
      </c>
      <c r="G40">
        <v>0.95776333436826699</v>
      </c>
      <c r="H40">
        <v>-6.0589693636417161</v>
      </c>
      <c r="I40">
        <v>0.23601490135914829</v>
      </c>
      <c r="J40">
        <v>3.8824736842103968E-2</v>
      </c>
      <c r="K40">
        <v>-1.8132004977727629</v>
      </c>
      <c r="L40">
        <v>89.376315179699532</v>
      </c>
      <c r="M40">
        <v>-1.4891059897429349E-2</v>
      </c>
      <c r="N40">
        <v>0.97387525575554534</v>
      </c>
      <c r="O40">
        <v>284.95042750752691</v>
      </c>
      <c r="P40">
        <v>-2.7224971421203292E-2</v>
      </c>
      <c r="Q40">
        <v>0.1979476167287435</v>
      </c>
    </row>
    <row r="41" spans="1:17" x14ac:dyDescent="0.2">
      <c r="A41" t="s">
        <v>38</v>
      </c>
      <c r="B41" t="s">
        <v>32</v>
      </c>
      <c r="C41" t="s">
        <v>19</v>
      </c>
      <c r="D41" t="s">
        <v>34</v>
      </c>
      <c r="E41" t="s">
        <v>21</v>
      </c>
      <c r="F41">
        <v>-16.82545555555556</v>
      </c>
      <c r="G41">
        <v>0.98952342164872176</v>
      </c>
      <c r="H41">
        <v>-7.7822816297128119</v>
      </c>
      <c r="I41">
        <v>2.267274578537715E-2</v>
      </c>
      <c r="J41">
        <v>0</v>
      </c>
      <c r="K41">
        <v>0</v>
      </c>
      <c r="L41">
        <v>1639.5061427515179</v>
      </c>
      <c r="M41">
        <v>-1.13908524265254E-2</v>
      </c>
      <c r="N41">
        <v>0.99223313519931622</v>
      </c>
      <c r="O41">
        <v>798.20728691043223</v>
      </c>
      <c r="P41">
        <v>-9.7643884761486281E-3</v>
      </c>
      <c r="Q41">
        <v>2.080560788810315E-2</v>
      </c>
    </row>
    <row r="42" spans="1:17" x14ac:dyDescent="0.2">
      <c r="A42" t="s">
        <v>38</v>
      </c>
      <c r="B42" t="s">
        <v>32</v>
      </c>
      <c r="C42" t="s">
        <v>19</v>
      </c>
      <c r="D42" t="s">
        <v>34</v>
      </c>
      <c r="E42" t="s">
        <v>22</v>
      </c>
      <c r="F42">
        <v>-13.37135736842105</v>
      </c>
      <c r="G42">
        <v>0.99318642778105348</v>
      </c>
      <c r="H42">
        <v>-10.50305500557908</v>
      </c>
      <c r="I42">
        <v>0.2006619859507501</v>
      </c>
      <c r="J42">
        <v>0</v>
      </c>
      <c r="K42">
        <v>0</v>
      </c>
      <c r="L42">
        <v>1567.0014009399461</v>
      </c>
      <c r="M42">
        <v>-1.007341329486753E-2</v>
      </c>
      <c r="N42">
        <v>0.99703356770046858</v>
      </c>
      <c r="O42">
        <v>845.44203884780234</v>
      </c>
      <c r="P42">
        <v>-1.7068089905171609E-2</v>
      </c>
      <c r="Q42">
        <v>0.2105430243127269</v>
      </c>
    </row>
    <row r="43" spans="1:17" x14ac:dyDescent="0.2">
      <c r="A43" t="s">
        <v>38</v>
      </c>
      <c r="B43" t="s">
        <v>32</v>
      </c>
      <c r="C43" t="s">
        <v>19</v>
      </c>
      <c r="D43" t="s">
        <v>34</v>
      </c>
      <c r="E43" t="s">
        <v>23</v>
      </c>
      <c r="F43">
        <v>-22.742688888888889</v>
      </c>
      <c r="G43">
        <v>0.98689375223477982</v>
      </c>
      <c r="H43">
        <v>-8.5784440923469898</v>
      </c>
      <c r="I43">
        <v>0.9834414720925716</v>
      </c>
      <c r="J43">
        <v>-5.917233333333332</v>
      </c>
      <c r="K43">
        <v>-0.79616246263417789</v>
      </c>
      <c r="L43">
        <v>1884.6562222033599</v>
      </c>
      <c r="M43">
        <v>-1.3682920422255411E-2</v>
      </c>
      <c r="N43">
        <v>0.9907121780097351</v>
      </c>
      <c r="O43">
        <v>831.15095195055756</v>
      </c>
      <c r="P43">
        <v>-1.148221457776814E-2</v>
      </c>
      <c r="Q43">
        <v>0.98759631077622556</v>
      </c>
    </row>
    <row r="44" spans="1:17" x14ac:dyDescent="0.2">
      <c r="A44" t="s">
        <v>38</v>
      </c>
      <c r="B44" t="s">
        <v>32</v>
      </c>
      <c r="C44" t="s">
        <v>19</v>
      </c>
      <c r="D44" t="s">
        <v>34</v>
      </c>
      <c r="E44" t="s">
        <v>24</v>
      </c>
      <c r="F44">
        <v>-12.722229473684211</v>
      </c>
      <c r="G44">
        <v>0.99012687023978696</v>
      </c>
      <c r="H44">
        <v>-5.8703117931410924</v>
      </c>
      <c r="I44">
        <v>0.70227506425522168</v>
      </c>
      <c r="J44">
        <v>0.64912789473683929</v>
      </c>
      <c r="K44">
        <v>4.6327432124379921</v>
      </c>
      <c r="L44">
        <v>1578.2327357072711</v>
      </c>
      <c r="M44">
        <v>-9.4292647577343472E-3</v>
      </c>
      <c r="N44">
        <v>0.99493881775988946</v>
      </c>
      <c r="O44">
        <v>719.04766099286974</v>
      </c>
      <c r="P44">
        <v>-9.895192717672148E-3</v>
      </c>
      <c r="Q44">
        <v>0.72595111202512974</v>
      </c>
    </row>
    <row r="45" spans="1:17" x14ac:dyDescent="0.2">
      <c r="A45" t="s">
        <v>38</v>
      </c>
      <c r="B45" t="s">
        <v>32</v>
      </c>
      <c r="C45" t="s">
        <v>19</v>
      </c>
      <c r="D45" t="s">
        <v>34</v>
      </c>
      <c r="E45" t="s">
        <v>25</v>
      </c>
      <c r="F45">
        <v>-22.505299999999998</v>
      </c>
      <c r="G45">
        <v>0.96120800560304642</v>
      </c>
      <c r="H45">
        <v>-8.3992363956905187</v>
      </c>
      <c r="I45">
        <v>0.9453779593752748</v>
      </c>
      <c r="J45">
        <v>-5.6798444444444449</v>
      </c>
      <c r="K45">
        <v>-0.61695476597770682</v>
      </c>
      <c r="L45">
        <v>1863.2245780710859</v>
      </c>
      <c r="M45">
        <v>-1.374060614900191E-2</v>
      </c>
      <c r="N45">
        <v>0.96756624780920741</v>
      </c>
      <c r="O45">
        <v>833.66717312485957</v>
      </c>
      <c r="P45">
        <v>-1.121391497213152E-2</v>
      </c>
      <c r="Q45">
        <v>0.9520771608043741</v>
      </c>
    </row>
    <row r="46" spans="1:17" x14ac:dyDescent="0.2">
      <c r="A46" t="s">
        <v>38</v>
      </c>
      <c r="B46" t="s">
        <v>32</v>
      </c>
      <c r="C46" t="s">
        <v>19</v>
      </c>
      <c r="D46" t="s">
        <v>34</v>
      </c>
      <c r="E46" t="s">
        <v>26</v>
      </c>
      <c r="F46">
        <v>-13.63161631578947</v>
      </c>
      <c r="G46">
        <v>0.99438902121214445</v>
      </c>
      <c r="H46">
        <v>-4.5624746963089153</v>
      </c>
      <c r="I46">
        <v>5.702814660327804E-2</v>
      </c>
      <c r="J46">
        <v>-0.2602589473684187</v>
      </c>
      <c r="K46">
        <v>5.9405803092701683</v>
      </c>
      <c r="L46">
        <v>1563.292674147559</v>
      </c>
      <c r="M46">
        <v>-1.033161242482541E-2</v>
      </c>
      <c r="N46">
        <v>0.99782768517806997</v>
      </c>
      <c r="O46">
        <v>720.59474933615684</v>
      </c>
      <c r="P46">
        <v>-6.9390592924281269E-3</v>
      </c>
      <c r="Q46">
        <v>5.584583550686828E-2</v>
      </c>
    </row>
    <row r="47" spans="1:17" x14ac:dyDescent="0.2">
      <c r="A47" t="s">
        <v>38</v>
      </c>
      <c r="B47" t="s">
        <v>32</v>
      </c>
      <c r="C47" t="s">
        <v>19</v>
      </c>
      <c r="D47" t="s">
        <v>34</v>
      </c>
      <c r="E47" t="s">
        <v>27</v>
      </c>
      <c r="F47">
        <v>-22.58946666666667</v>
      </c>
      <c r="G47">
        <v>0.96063549446427032</v>
      </c>
      <c r="H47">
        <v>-8.0580460931213516</v>
      </c>
      <c r="I47">
        <v>0.93681471592883969</v>
      </c>
      <c r="J47">
        <v>-5.7640111111111096</v>
      </c>
      <c r="K47">
        <v>-0.27576446340853972</v>
      </c>
      <c r="L47">
        <v>1794.0407399355729</v>
      </c>
      <c r="M47">
        <v>-1.443000488131726E-2</v>
      </c>
      <c r="N47">
        <v>0.96827786722422482</v>
      </c>
      <c r="O47">
        <v>785.58512013492168</v>
      </c>
      <c r="P47">
        <v>-1.1457462369311279E-2</v>
      </c>
      <c r="Q47">
        <v>0.94477895194796035</v>
      </c>
    </row>
    <row r="48" spans="1:17" x14ac:dyDescent="0.2">
      <c r="A48" t="s">
        <v>38</v>
      </c>
      <c r="B48" t="s">
        <v>32</v>
      </c>
      <c r="C48" t="s">
        <v>19</v>
      </c>
      <c r="D48" t="s">
        <v>34</v>
      </c>
      <c r="E48" t="s">
        <v>28</v>
      </c>
      <c r="F48">
        <v>-12.814515263157899</v>
      </c>
      <c r="G48">
        <v>0.99550307152296647</v>
      </c>
      <c r="H48">
        <v>-20.56432150864886</v>
      </c>
      <c r="I48">
        <v>0.18330284915845829</v>
      </c>
      <c r="J48">
        <v>0.55684210526315248</v>
      </c>
      <c r="K48">
        <v>-10.061266503069779</v>
      </c>
      <c r="L48">
        <v>1570.1600336316999</v>
      </c>
      <c r="M48">
        <v>-9.5391949336115049E-3</v>
      </c>
      <c r="N48">
        <v>0.9978398702589435</v>
      </c>
      <c r="O48">
        <v>1154.75325507295</v>
      </c>
      <c r="P48">
        <v>-2.540233659830932E-2</v>
      </c>
      <c r="Q48">
        <v>0.1767546960870422</v>
      </c>
    </row>
    <row r="49" spans="1:17" x14ac:dyDescent="0.2">
      <c r="A49" t="s">
        <v>38</v>
      </c>
      <c r="B49" t="s">
        <v>32</v>
      </c>
      <c r="C49" t="s">
        <v>19</v>
      </c>
      <c r="D49" t="s">
        <v>34</v>
      </c>
      <c r="E49" t="s">
        <v>29</v>
      </c>
      <c r="F49">
        <v>-15.663888888888881</v>
      </c>
      <c r="G49">
        <v>0.99248769401118508</v>
      </c>
      <c r="H49">
        <v>43.40495690649842</v>
      </c>
      <c r="I49">
        <v>0.66393809839290252</v>
      </c>
      <c r="J49">
        <v>1.161566666666674</v>
      </c>
      <c r="K49">
        <v>51.187238536211233</v>
      </c>
      <c r="L49">
        <v>1344.364213970772</v>
      </c>
      <c r="M49">
        <v>-1.3106698074165601E-2</v>
      </c>
      <c r="N49">
        <v>0.99344118910552492</v>
      </c>
      <c r="O49">
        <v>401.62760896516232</v>
      </c>
      <c r="P49">
        <v>6.3300775016354172E-2</v>
      </c>
      <c r="Q49">
        <v>0.70906115665146863</v>
      </c>
    </row>
    <row r="50" spans="1:17" x14ac:dyDescent="0.2">
      <c r="A50" t="s">
        <v>38</v>
      </c>
      <c r="B50" t="s">
        <v>32</v>
      </c>
      <c r="C50" t="s">
        <v>19</v>
      </c>
      <c r="D50" t="s">
        <v>34</v>
      </c>
      <c r="E50" t="s">
        <v>30</v>
      </c>
      <c r="F50">
        <v>-13.38662210526315</v>
      </c>
      <c r="G50">
        <v>0.98956095203129257</v>
      </c>
      <c r="H50">
        <v>-6.3638680375704766</v>
      </c>
      <c r="I50">
        <v>0.1396804710089011</v>
      </c>
      <c r="J50">
        <v>-1.526473684210394E-2</v>
      </c>
      <c r="K50">
        <v>4.1391869680086062</v>
      </c>
      <c r="L50">
        <v>1601.3629729587969</v>
      </c>
      <c r="M50">
        <v>-9.8405169048696173E-3</v>
      </c>
      <c r="N50">
        <v>0.99419656369520049</v>
      </c>
      <c r="O50">
        <v>711.03633802612399</v>
      </c>
      <c r="P50">
        <v>-1.150394883622167E-2</v>
      </c>
      <c r="Q50">
        <v>0.14934496769108321</v>
      </c>
    </row>
    <row r="51" spans="1:17" x14ac:dyDescent="0.2">
      <c r="A51" t="s">
        <v>39</v>
      </c>
      <c r="B51" t="s">
        <v>18</v>
      </c>
      <c r="C51" t="s">
        <v>33</v>
      </c>
      <c r="D51" t="s">
        <v>20</v>
      </c>
      <c r="E51" t="s">
        <v>21</v>
      </c>
      <c r="F51">
        <v>-3.0735333333333319</v>
      </c>
      <c r="G51">
        <v>0.93324351487864377</v>
      </c>
      <c r="H51">
        <v>-1.249727355674366</v>
      </c>
      <c r="I51">
        <v>2.0291487849277701E-3</v>
      </c>
      <c r="J51">
        <v>0</v>
      </c>
      <c r="K51">
        <v>0</v>
      </c>
      <c r="L51">
        <v>169.57892275365981</v>
      </c>
      <c r="M51">
        <v>-2.228164857852135E-2</v>
      </c>
      <c r="N51">
        <v>0.94232836065129233</v>
      </c>
      <c r="O51">
        <v>299.82816346757562</v>
      </c>
      <c r="P51">
        <v>-5.3831561570881004E-3</v>
      </c>
      <c r="Q51">
        <v>2.495522705903364E-3</v>
      </c>
    </row>
    <row r="52" spans="1:17" x14ac:dyDescent="0.2">
      <c r="A52" t="s">
        <v>39</v>
      </c>
      <c r="B52" t="s">
        <v>18</v>
      </c>
      <c r="C52" t="s">
        <v>33</v>
      </c>
      <c r="D52" t="s">
        <v>20</v>
      </c>
      <c r="E52" t="s">
        <v>22</v>
      </c>
      <c r="F52">
        <v>-1.706474210526316</v>
      </c>
      <c r="G52">
        <v>0.94319224815964453</v>
      </c>
      <c r="H52">
        <v>-7.8378821735444761</v>
      </c>
      <c r="I52">
        <v>0.1459607801330661</v>
      </c>
      <c r="J52">
        <v>0</v>
      </c>
      <c r="K52">
        <v>0</v>
      </c>
      <c r="L52">
        <v>150.84932737461409</v>
      </c>
      <c r="M52">
        <v>-1.456125632089149E-2</v>
      </c>
      <c r="N52">
        <v>0.9625213340381974</v>
      </c>
      <c r="O52">
        <v>463.19886040968811</v>
      </c>
      <c r="P52">
        <v>-1.9577324074723259E-2</v>
      </c>
      <c r="Q52">
        <v>0.12427304555515439</v>
      </c>
    </row>
    <row r="53" spans="1:17" x14ac:dyDescent="0.2">
      <c r="A53" t="s">
        <v>39</v>
      </c>
      <c r="B53" t="s">
        <v>18</v>
      </c>
      <c r="C53" t="s">
        <v>33</v>
      </c>
      <c r="D53" t="s">
        <v>20</v>
      </c>
      <c r="E53" t="s">
        <v>23</v>
      </c>
      <c r="F53">
        <v>-2.4484333333333361</v>
      </c>
      <c r="G53">
        <v>0.9306212033193193</v>
      </c>
      <c r="H53">
        <v>6.119751806679723</v>
      </c>
      <c r="I53">
        <v>2.531818640196681E-2</v>
      </c>
      <c r="J53">
        <v>0.62509999999999666</v>
      </c>
      <c r="K53">
        <v>7.3694791623540894</v>
      </c>
      <c r="L53">
        <v>126.0740619328374</v>
      </c>
      <c r="M53">
        <v>-2.4521039930350982E-2</v>
      </c>
      <c r="N53">
        <v>0.94641428379733961</v>
      </c>
      <c r="O53">
        <v>230.38394703262131</v>
      </c>
      <c r="P53">
        <v>1.8024763845588581E-2</v>
      </c>
      <c r="Q53">
        <v>2.0228500873605171E-2</v>
      </c>
    </row>
    <row r="54" spans="1:17" x14ac:dyDescent="0.2">
      <c r="A54" t="s">
        <v>39</v>
      </c>
      <c r="B54" t="s">
        <v>18</v>
      </c>
      <c r="C54" t="s">
        <v>33</v>
      </c>
      <c r="D54" t="s">
        <v>20</v>
      </c>
      <c r="E54" t="s">
        <v>24</v>
      </c>
      <c r="F54">
        <v>-1.5233747368421049</v>
      </c>
      <c r="G54">
        <v>0.93818868316554271</v>
      </c>
      <c r="H54">
        <v>-6.0220178976987508</v>
      </c>
      <c r="I54">
        <v>0.1660219427206775</v>
      </c>
      <c r="J54">
        <v>0.18309947368421131</v>
      </c>
      <c r="K54">
        <v>1.8158642758457251</v>
      </c>
      <c r="L54">
        <v>144.1022075002989</v>
      </c>
      <c r="M54">
        <v>-1.335572537717941E-2</v>
      </c>
      <c r="N54">
        <v>0.95741842036488289</v>
      </c>
      <c r="O54">
        <v>421.68528360685298</v>
      </c>
      <c r="P54">
        <v>-2.1890618715381178E-2</v>
      </c>
      <c r="Q54">
        <v>0.18065341698479309</v>
      </c>
    </row>
    <row r="55" spans="1:17" x14ac:dyDescent="0.2">
      <c r="A55" t="s">
        <v>39</v>
      </c>
      <c r="B55" t="s">
        <v>18</v>
      </c>
      <c r="C55" t="s">
        <v>33</v>
      </c>
      <c r="D55" t="s">
        <v>20</v>
      </c>
      <c r="E55" t="s">
        <v>25</v>
      </c>
      <c r="F55">
        <v>-2.2978111111111139</v>
      </c>
      <c r="G55">
        <v>0.90042661793325518</v>
      </c>
      <c r="H55">
        <v>3.9444670986486638</v>
      </c>
      <c r="I55">
        <v>1.7896124614377951E-2</v>
      </c>
      <c r="J55">
        <v>0.77572222222221843</v>
      </c>
      <c r="K55">
        <v>5.1941944543230303</v>
      </c>
      <c r="L55">
        <v>117.4776006311432</v>
      </c>
      <c r="M55">
        <v>-2.4763233638177361E-2</v>
      </c>
      <c r="N55">
        <v>0.91615899574061954</v>
      </c>
      <c r="O55">
        <v>224.1537488790155</v>
      </c>
      <c r="P55">
        <v>1.5581678672065001E-2</v>
      </c>
      <c r="Q55">
        <v>1.8230254983562011E-2</v>
      </c>
    </row>
    <row r="56" spans="1:17" x14ac:dyDescent="0.2">
      <c r="A56" t="s">
        <v>39</v>
      </c>
      <c r="B56" t="s">
        <v>18</v>
      </c>
      <c r="C56" t="s">
        <v>33</v>
      </c>
      <c r="D56" t="s">
        <v>20</v>
      </c>
      <c r="E56" t="s">
        <v>26</v>
      </c>
      <c r="F56">
        <v>-1.3852884210526311</v>
      </c>
      <c r="G56">
        <v>0.94875058826428016</v>
      </c>
      <c r="H56">
        <v>-0.89575255426720146</v>
      </c>
      <c r="I56">
        <v>3.5139204031032771E-3</v>
      </c>
      <c r="J56">
        <v>0.32118578947368492</v>
      </c>
      <c r="K56">
        <v>6.9421296192772743</v>
      </c>
      <c r="L56">
        <v>142.55837073705331</v>
      </c>
      <c r="M56">
        <v>-1.19393805346327E-2</v>
      </c>
      <c r="N56">
        <v>0.96262487212195247</v>
      </c>
      <c r="O56">
        <v>318.05025856704339</v>
      </c>
      <c r="P56">
        <v>-3.0448130462722108E-3</v>
      </c>
      <c r="Q56">
        <v>3.6148840589199649E-3</v>
      </c>
    </row>
    <row r="57" spans="1:17" x14ac:dyDescent="0.2">
      <c r="A57" t="s">
        <v>39</v>
      </c>
      <c r="B57" t="s">
        <v>18</v>
      </c>
      <c r="C57" t="s">
        <v>33</v>
      </c>
      <c r="D57" t="s">
        <v>20</v>
      </c>
      <c r="E57" t="s">
        <v>27</v>
      </c>
      <c r="F57">
        <v>-2.5092111111111119</v>
      </c>
      <c r="G57">
        <v>0.89430066530371211</v>
      </c>
      <c r="H57">
        <v>0.2118201884385478</v>
      </c>
      <c r="I57">
        <v>1.071899079763128E-4</v>
      </c>
      <c r="J57">
        <v>0.56432222222222084</v>
      </c>
      <c r="K57">
        <v>1.461547544112914</v>
      </c>
      <c r="L57">
        <v>121.2061895017609</v>
      </c>
      <c r="M57">
        <v>-2.6833121202851161E-2</v>
      </c>
      <c r="N57">
        <v>0.91507565356064891</v>
      </c>
      <c r="O57">
        <v>289.67737414762519</v>
      </c>
      <c r="P57">
        <v>7.3236325155448306E-4</v>
      </c>
      <c r="Q57">
        <v>1.0807654255406971E-4</v>
      </c>
    </row>
    <row r="58" spans="1:17" x14ac:dyDescent="0.2">
      <c r="A58" t="s">
        <v>39</v>
      </c>
      <c r="B58" t="s">
        <v>18</v>
      </c>
      <c r="C58" t="s">
        <v>33</v>
      </c>
      <c r="D58" t="s">
        <v>20</v>
      </c>
      <c r="E58" t="s">
        <v>28</v>
      </c>
      <c r="F58">
        <v>-1.5623615789473679</v>
      </c>
      <c r="G58">
        <v>0.94113700496027541</v>
      </c>
      <c r="H58">
        <v>-8.2277039500974389</v>
      </c>
      <c r="I58">
        <v>0.1988092100431382</v>
      </c>
      <c r="J58">
        <v>0.14411263157894849</v>
      </c>
      <c r="K58">
        <v>-0.3898217765529628</v>
      </c>
      <c r="L58">
        <v>144.67622640346281</v>
      </c>
      <c r="M58">
        <v>-1.368245822598398E-2</v>
      </c>
      <c r="N58">
        <v>0.95829423657982238</v>
      </c>
      <c r="O58">
        <v>466.15307509230882</v>
      </c>
      <c r="P58">
        <v>-2.336137810125629E-2</v>
      </c>
      <c r="Q58">
        <v>0.1829501206371337</v>
      </c>
    </row>
    <row r="59" spans="1:17" x14ac:dyDescent="0.2">
      <c r="A59" t="s">
        <v>39</v>
      </c>
      <c r="B59" t="s">
        <v>18</v>
      </c>
      <c r="C59" t="s">
        <v>33</v>
      </c>
      <c r="D59" t="s">
        <v>20</v>
      </c>
      <c r="E59" t="s">
        <v>29</v>
      </c>
      <c r="F59">
        <v>-2.0631111111111111</v>
      </c>
      <c r="G59">
        <v>0.91726323151878608</v>
      </c>
      <c r="H59">
        <v>-10.76564537862288</v>
      </c>
      <c r="I59">
        <v>0.32866199079096559</v>
      </c>
      <c r="J59">
        <v>1.010422222222221</v>
      </c>
      <c r="K59">
        <v>-9.5159180229485099</v>
      </c>
      <c r="L59">
        <v>100.05855321673241</v>
      </c>
      <c r="M59">
        <v>-2.6607889492833929E-2</v>
      </c>
      <c r="N59">
        <v>0.93630856203046098</v>
      </c>
      <c r="O59">
        <v>381.66302629323889</v>
      </c>
      <c r="P59">
        <v>-3.5698890350608692E-2</v>
      </c>
      <c r="Q59">
        <v>0.30487847226378162</v>
      </c>
    </row>
    <row r="60" spans="1:17" x14ac:dyDescent="0.2">
      <c r="A60" t="s">
        <v>39</v>
      </c>
      <c r="B60" t="s">
        <v>18</v>
      </c>
      <c r="C60" t="s">
        <v>33</v>
      </c>
      <c r="D60" t="s">
        <v>20</v>
      </c>
      <c r="E60" t="s">
        <v>30</v>
      </c>
      <c r="F60">
        <v>-1.411398421052632</v>
      </c>
      <c r="G60">
        <v>0.94268838668852217</v>
      </c>
      <c r="H60">
        <v>-5.5864979541274309</v>
      </c>
      <c r="I60">
        <v>0.25257546193185137</v>
      </c>
      <c r="J60">
        <v>0.29507578947368368</v>
      </c>
      <c r="K60">
        <v>2.2513842194170448</v>
      </c>
      <c r="L60">
        <v>133.1569943164917</v>
      </c>
      <c r="M60">
        <v>-1.337083300283891E-2</v>
      </c>
      <c r="N60">
        <v>0.96033646568985742</v>
      </c>
      <c r="O60">
        <v>433.25410420942569</v>
      </c>
      <c r="P60">
        <v>-1.9805425068264569E-2</v>
      </c>
      <c r="Q60">
        <v>0.28348171791995219</v>
      </c>
    </row>
    <row r="61" spans="1:17" x14ac:dyDescent="0.2">
      <c r="A61" t="s">
        <v>40</v>
      </c>
      <c r="B61" t="s">
        <v>18</v>
      </c>
      <c r="C61" t="s">
        <v>33</v>
      </c>
      <c r="D61" t="s">
        <v>34</v>
      </c>
      <c r="E61" t="s">
        <v>21</v>
      </c>
      <c r="F61">
        <v>-5.4101555555555558</v>
      </c>
      <c r="G61">
        <v>0.98711762380271972</v>
      </c>
      <c r="H61">
        <v>-15.714773964893601</v>
      </c>
      <c r="I61">
        <v>0.34189006229463381</v>
      </c>
      <c r="J61">
        <v>0</v>
      </c>
      <c r="K61">
        <v>0</v>
      </c>
      <c r="L61">
        <v>223.39867997782579</v>
      </c>
      <c r="M61">
        <v>-3.2379490624012033E-2</v>
      </c>
      <c r="N61">
        <v>0.99382154750395835</v>
      </c>
      <c r="O61">
        <v>490.82791159530632</v>
      </c>
      <c r="P61">
        <v>-5.834283563527122E-2</v>
      </c>
      <c r="Q61">
        <v>0.37918830094208128</v>
      </c>
    </row>
    <row r="62" spans="1:17" x14ac:dyDescent="0.2">
      <c r="A62" t="s">
        <v>40</v>
      </c>
      <c r="B62" t="s">
        <v>18</v>
      </c>
      <c r="C62" t="s">
        <v>33</v>
      </c>
      <c r="D62" t="s">
        <v>34</v>
      </c>
      <c r="E62" t="s">
        <v>22</v>
      </c>
      <c r="F62">
        <v>-2.429554210526315</v>
      </c>
      <c r="G62">
        <v>0.97969247030126683</v>
      </c>
      <c r="H62">
        <v>-4.5177715796219866</v>
      </c>
      <c r="I62">
        <v>0.27393307220874907</v>
      </c>
      <c r="J62">
        <v>0</v>
      </c>
      <c r="K62">
        <v>0</v>
      </c>
      <c r="L62">
        <v>186.78963915965161</v>
      </c>
      <c r="M62">
        <v>-1.733193207497313E-2</v>
      </c>
      <c r="N62">
        <v>0.99188754073399732</v>
      </c>
      <c r="O62">
        <v>401.66206581039819</v>
      </c>
      <c r="P62">
        <v>-1.4752776628521371E-2</v>
      </c>
      <c r="Q62">
        <v>0.28426463301894872</v>
      </c>
    </row>
    <row r="63" spans="1:17" x14ac:dyDescent="0.2">
      <c r="A63" t="s">
        <v>40</v>
      </c>
      <c r="B63" t="s">
        <v>18</v>
      </c>
      <c r="C63" t="s">
        <v>33</v>
      </c>
      <c r="D63" t="s">
        <v>34</v>
      </c>
      <c r="E63" t="s">
        <v>23</v>
      </c>
      <c r="F63">
        <v>-6.9684888888888974</v>
      </c>
      <c r="G63">
        <v>0.96124732738141749</v>
      </c>
      <c r="H63">
        <v>-14.707086259311261</v>
      </c>
      <c r="I63">
        <v>0.65836962131929255</v>
      </c>
      <c r="J63">
        <v>-1.5583333333333409</v>
      </c>
      <c r="K63">
        <v>1.0076877055823421</v>
      </c>
      <c r="L63">
        <v>278.86258111648101</v>
      </c>
      <c r="M63">
        <v>-3.4261101305669603E-2</v>
      </c>
      <c r="N63">
        <v>0.97636931456766385</v>
      </c>
      <c r="O63">
        <v>583.30447853564976</v>
      </c>
      <c r="P63">
        <v>-3.7077082131113687E-2</v>
      </c>
      <c r="Q63">
        <v>0.6998439811167867</v>
      </c>
    </row>
    <row r="64" spans="1:17" x14ac:dyDescent="0.2">
      <c r="A64" t="s">
        <v>40</v>
      </c>
      <c r="B64" t="s">
        <v>18</v>
      </c>
      <c r="C64" t="s">
        <v>33</v>
      </c>
      <c r="D64" t="s">
        <v>34</v>
      </c>
      <c r="E64" t="s">
        <v>24</v>
      </c>
      <c r="F64">
        <v>-2.4085121052631582</v>
      </c>
      <c r="G64">
        <v>0.96764180036711589</v>
      </c>
      <c r="H64">
        <v>-2.1887067136870049</v>
      </c>
      <c r="I64">
        <v>5.0668086332817393E-2</v>
      </c>
      <c r="J64">
        <v>2.1042105263156859E-2</v>
      </c>
      <c r="K64">
        <v>2.3290648659349831</v>
      </c>
      <c r="L64">
        <v>186.30177495523719</v>
      </c>
      <c r="M64">
        <v>-1.7269608799300479E-2</v>
      </c>
      <c r="N64">
        <v>0.98295498596162623</v>
      </c>
      <c r="O64">
        <v>351.89824023833319</v>
      </c>
      <c r="P64">
        <v>-7.5525390293322324E-3</v>
      </c>
      <c r="Q64">
        <v>5.4447789400801749E-2</v>
      </c>
    </row>
    <row r="65" spans="1:17" x14ac:dyDescent="0.2">
      <c r="A65" t="s">
        <v>40</v>
      </c>
      <c r="B65" t="s">
        <v>18</v>
      </c>
      <c r="C65" t="s">
        <v>33</v>
      </c>
      <c r="D65" t="s">
        <v>34</v>
      </c>
      <c r="E65" t="s">
        <v>25</v>
      </c>
      <c r="F65">
        <v>-6.1098888888888938</v>
      </c>
      <c r="G65">
        <v>0.95058778217692119</v>
      </c>
      <c r="H65">
        <v>-7.7269363638102622</v>
      </c>
      <c r="I65">
        <v>0.90491101856742162</v>
      </c>
      <c r="J65">
        <v>-0.69973333333333798</v>
      </c>
      <c r="K65">
        <v>7.9878376010833421</v>
      </c>
      <c r="L65">
        <v>261.1643092721842</v>
      </c>
      <c r="M65">
        <v>-3.1325322391582928E-2</v>
      </c>
      <c r="N65">
        <v>0.96684860274057338</v>
      </c>
      <c r="O65">
        <v>476.48388434754412</v>
      </c>
      <c r="P65">
        <v>-1.9623877700087781E-2</v>
      </c>
      <c r="Q65">
        <v>0.92025439627612837</v>
      </c>
    </row>
    <row r="66" spans="1:17" x14ac:dyDescent="0.2">
      <c r="A66" t="s">
        <v>40</v>
      </c>
      <c r="B66" t="s">
        <v>18</v>
      </c>
      <c r="C66" t="s">
        <v>33</v>
      </c>
      <c r="D66" t="s">
        <v>34</v>
      </c>
      <c r="E66" t="s">
        <v>26</v>
      </c>
      <c r="F66">
        <v>-2.5768700000000022</v>
      </c>
      <c r="G66">
        <v>0.96417110841248876</v>
      </c>
      <c r="H66">
        <v>-6.089245965611975E-3</v>
      </c>
      <c r="I66">
        <v>2.6786448359406018E-7</v>
      </c>
      <c r="J66">
        <v>-0.1473157894736867</v>
      </c>
      <c r="K66">
        <v>4.5116823336563758</v>
      </c>
      <c r="L66">
        <v>191.92483352239429</v>
      </c>
      <c r="M66">
        <v>-1.828448151915579E-2</v>
      </c>
      <c r="N66">
        <v>0.983259958009715</v>
      </c>
      <c r="O66">
        <v>284.26729819383161</v>
      </c>
      <c r="P66">
        <v>-2.510192983325101E-5</v>
      </c>
      <c r="Q66">
        <v>3.153102050568179E-7</v>
      </c>
    </row>
    <row r="67" spans="1:17" x14ac:dyDescent="0.2">
      <c r="A67" t="s">
        <v>40</v>
      </c>
      <c r="B67" t="s">
        <v>18</v>
      </c>
      <c r="C67" t="s">
        <v>33</v>
      </c>
      <c r="D67" t="s">
        <v>34</v>
      </c>
      <c r="E67" t="s">
        <v>27</v>
      </c>
      <c r="F67">
        <v>-5.5266444444444476</v>
      </c>
      <c r="G67">
        <v>0.95942866173029295</v>
      </c>
      <c r="H67">
        <v>-7.1095813262469996</v>
      </c>
      <c r="I67">
        <v>0.94971751982559771</v>
      </c>
      <c r="J67">
        <v>-0.1164888888888926</v>
      </c>
      <c r="K67">
        <v>8.6051926386466047</v>
      </c>
      <c r="L67">
        <v>249.50995726388649</v>
      </c>
      <c r="M67">
        <v>-2.9094528034852019E-2</v>
      </c>
      <c r="N67">
        <v>0.97585939152450474</v>
      </c>
      <c r="O67">
        <v>464.65709614900197</v>
      </c>
      <c r="P67">
        <v>-1.8172123432662932E-2</v>
      </c>
      <c r="Q67">
        <v>0.96002248645772426</v>
      </c>
    </row>
    <row r="68" spans="1:17" x14ac:dyDescent="0.2">
      <c r="A68" t="s">
        <v>40</v>
      </c>
      <c r="B68" t="s">
        <v>18</v>
      </c>
      <c r="C68" t="s">
        <v>33</v>
      </c>
      <c r="D68" t="s">
        <v>34</v>
      </c>
      <c r="E68" t="s">
        <v>28</v>
      </c>
      <c r="F68">
        <v>-2.4171231578947361</v>
      </c>
      <c r="G68">
        <v>0.96618574210868813</v>
      </c>
      <c r="H68">
        <v>-3.748690251284819</v>
      </c>
      <c r="I68">
        <v>0.13055802346877049</v>
      </c>
      <c r="J68">
        <v>1.24310526315794E-2</v>
      </c>
      <c r="K68">
        <v>0.76908132833716891</v>
      </c>
      <c r="L68">
        <v>186.30175759532131</v>
      </c>
      <c r="M68">
        <v>-1.7361630245425291E-2</v>
      </c>
      <c r="N68">
        <v>0.98180390080814017</v>
      </c>
      <c r="O68">
        <v>363.39556679077651</v>
      </c>
      <c r="P68">
        <v>-1.3306328075651991E-2</v>
      </c>
      <c r="Q68">
        <v>0.13600624161699401</v>
      </c>
    </row>
    <row r="69" spans="1:17" x14ac:dyDescent="0.2">
      <c r="A69" t="s">
        <v>40</v>
      </c>
      <c r="B69" t="s">
        <v>18</v>
      </c>
      <c r="C69" t="s">
        <v>33</v>
      </c>
      <c r="D69" t="s">
        <v>34</v>
      </c>
      <c r="E69" t="s">
        <v>29</v>
      </c>
      <c r="F69">
        <v>-4.2734888888888882</v>
      </c>
      <c r="G69">
        <v>0.97377659360821467</v>
      </c>
      <c r="H69">
        <v>-3.268857420261281</v>
      </c>
      <c r="I69">
        <v>2.609414773546892E-2</v>
      </c>
      <c r="J69">
        <v>1.136666666666668</v>
      </c>
      <c r="K69">
        <v>12.44591654463232</v>
      </c>
      <c r="L69">
        <v>207.27501100523051</v>
      </c>
      <c r="M69">
        <v>-2.6298264214435471E-2</v>
      </c>
      <c r="N69">
        <v>0.98526542077908774</v>
      </c>
      <c r="O69">
        <v>339.6672415913323</v>
      </c>
      <c r="P69">
        <v>-1.065848438246063E-2</v>
      </c>
      <c r="Q69">
        <v>2.628260614213318E-2</v>
      </c>
    </row>
    <row r="70" spans="1:17" x14ac:dyDescent="0.2">
      <c r="A70" t="s">
        <v>40</v>
      </c>
      <c r="B70" t="s">
        <v>18</v>
      </c>
      <c r="C70" t="s">
        <v>33</v>
      </c>
      <c r="D70" t="s">
        <v>34</v>
      </c>
      <c r="E70" t="s">
        <v>30</v>
      </c>
      <c r="F70">
        <v>-2.6524305263157921</v>
      </c>
      <c r="G70">
        <v>0.98014352607626087</v>
      </c>
      <c r="H70">
        <v>-1.2519457882273179</v>
      </c>
      <c r="I70">
        <v>1.3560719536933051E-2</v>
      </c>
      <c r="J70">
        <v>-0.22287631578947659</v>
      </c>
      <c r="K70">
        <v>3.2658257913946689</v>
      </c>
      <c r="L70">
        <v>190.197355733298</v>
      </c>
      <c r="M70">
        <v>-1.9108335248426631E-2</v>
      </c>
      <c r="N70">
        <v>0.99322484357483143</v>
      </c>
      <c r="O70">
        <v>326.56460728254808</v>
      </c>
      <c r="P70">
        <v>-4.6984488779585401E-3</v>
      </c>
      <c r="Q70">
        <v>1.5396940715605489E-2</v>
      </c>
    </row>
    <row r="71" spans="1:17" x14ac:dyDescent="0.2">
      <c r="A71" t="s">
        <v>41</v>
      </c>
      <c r="B71" t="s">
        <v>18</v>
      </c>
      <c r="C71" t="s">
        <v>42</v>
      </c>
      <c r="D71" t="s">
        <v>34</v>
      </c>
      <c r="E71" t="s">
        <v>21</v>
      </c>
      <c r="F71">
        <v>-52.864900000000013</v>
      </c>
      <c r="G71">
        <v>0.99734405527350012</v>
      </c>
      <c r="H71">
        <v>186.63161140535979</v>
      </c>
      <c r="I71">
        <v>0.96408411339762834</v>
      </c>
      <c r="J71">
        <v>0</v>
      </c>
      <c r="K71">
        <v>0</v>
      </c>
      <c r="L71">
        <v>3982.1072456932861</v>
      </c>
      <c r="M71">
        <v>-1.518408833510965E-2</v>
      </c>
      <c r="N71">
        <v>0.99669701653279397</v>
      </c>
      <c r="O71">
        <v>17289.29260052865</v>
      </c>
      <c r="P71">
        <v>9.8540317115969472E-3</v>
      </c>
      <c r="Q71">
        <v>0.9623584764487122</v>
      </c>
    </row>
    <row r="72" spans="1:17" x14ac:dyDescent="0.2">
      <c r="A72" t="s">
        <v>41</v>
      </c>
      <c r="B72" t="s">
        <v>18</v>
      </c>
      <c r="C72" t="s">
        <v>42</v>
      </c>
      <c r="D72" t="s">
        <v>34</v>
      </c>
      <c r="E72" t="s">
        <v>22</v>
      </c>
      <c r="F72">
        <v>-26.15089789473684</v>
      </c>
      <c r="G72">
        <v>0.99207856930853222</v>
      </c>
      <c r="H72">
        <v>123.3233093963331</v>
      </c>
      <c r="I72">
        <v>0.90920188767084176</v>
      </c>
      <c r="J72">
        <v>0</v>
      </c>
      <c r="K72">
        <v>0</v>
      </c>
      <c r="L72">
        <v>3615.5252059307782</v>
      </c>
      <c r="M72">
        <v>-8.304770119087021E-3</v>
      </c>
      <c r="N72">
        <v>0.99612476471964206</v>
      </c>
      <c r="O72">
        <v>18338.06382481167</v>
      </c>
      <c r="P72">
        <v>6.0466502893923206E-3</v>
      </c>
      <c r="Q72">
        <v>0.90397685933445737</v>
      </c>
    </row>
    <row r="73" spans="1:17" x14ac:dyDescent="0.2">
      <c r="A73" t="s">
        <v>41</v>
      </c>
      <c r="B73" t="s">
        <v>18</v>
      </c>
      <c r="C73" t="s">
        <v>42</v>
      </c>
      <c r="D73" t="s">
        <v>34</v>
      </c>
      <c r="E73" t="s">
        <v>23</v>
      </c>
      <c r="F73">
        <v>-39.60401111111112</v>
      </c>
      <c r="G73">
        <v>0.93586347906618716</v>
      </c>
      <c r="H73">
        <v>150.37885963902869</v>
      </c>
      <c r="I73">
        <v>0.85464511742761873</v>
      </c>
      <c r="J73">
        <v>13.260888888888889</v>
      </c>
      <c r="K73">
        <v>-36.252751766331102</v>
      </c>
      <c r="L73">
        <v>3897.271941168482</v>
      </c>
      <c r="M73">
        <v>-1.1331073785102111E-2</v>
      </c>
      <c r="N73">
        <v>0.94321699077025056</v>
      </c>
      <c r="O73">
        <v>16555.935866912241</v>
      </c>
      <c r="P73">
        <v>8.3694038935793035E-3</v>
      </c>
      <c r="Q73">
        <v>0.8495612598607859</v>
      </c>
    </row>
    <row r="74" spans="1:17" x14ac:dyDescent="0.2">
      <c r="A74" t="s">
        <v>41</v>
      </c>
      <c r="B74" t="s">
        <v>18</v>
      </c>
      <c r="C74" t="s">
        <v>42</v>
      </c>
      <c r="D74" t="s">
        <v>34</v>
      </c>
      <c r="E74" t="s">
        <v>24</v>
      </c>
      <c r="F74">
        <v>-25.14335473684211</v>
      </c>
      <c r="G74">
        <v>0.9908279349150646</v>
      </c>
      <c r="H74">
        <v>80.146881515881361</v>
      </c>
      <c r="I74">
        <v>0.45026232589734411</v>
      </c>
      <c r="J74">
        <v>1.007543157894734</v>
      </c>
      <c r="K74">
        <v>-43.176427880451698</v>
      </c>
      <c r="L74">
        <v>3552.698947153985</v>
      </c>
      <c r="M74">
        <v>-8.1022878830951106E-3</v>
      </c>
      <c r="N74">
        <v>0.99515881540631357</v>
      </c>
      <c r="O74">
        <v>18454.046641612698</v>
      </c>
      <c r="P74">
        <v>3.9764135459863306E-3</v>
      </c>
      <c r="Q74">
        <v>0.44034146165672272</v>
      </c>
    </row>
    <row r="75" spans="1:17" x14ac:dyDescent="0.2">
      <c r="A75" t="s">
        <v>41</v>
      </c>
      <c r="B75" t="s">
        <v>18</v>
      </c>
      <c r="C75" t="s">
        <v>42</v>
      </c>
      <c r="D75" t="s">
        <v>34</v>
      </c>
      <c r="E75" t="s">
        <v>25</v>
      </c>
      <c r="F75">
        <v>-40.231366666666673</v>
      </c>
      <c r="G75">
        <v>0.95426215961453364</v>
      </c>
      <c r="H75">
        <v>168.65453060904869</v>
      </c>
      <c r="I75">
        <v>0.86255290715730837</v>
      </c>
      <c r="J75">
        <v>12.633533333333339</v>
      </c>
      <c r="K75">
        <v>-17.97708079631116</v>
      </c>
      <c r="L75">
        <v>3873.8814379419159</v>
      </c>
      <c r="M75">
        <v>-1.158314081485181E-2</v>
      </c>
      <c r="N75">
        <v>0.95987233803812766</v>
      </c>
      <c r="O75">
        <v>16455.928331584149</v>
      </c>
      <c r="P75">
        <v>9.4045927336595999E-3</v>
      </c>
      <c r="Q75">
        <v>0.86199627723578909</v>
      </c>
    </row>
    <row r="76" spans="1:17" x14ac:dyDescent="0.2">
      <c r="A76" t="s">
        <v>41</v>
      </c>
      <c r="B76" t="s">
        <v>18</v>
      </c>
      <c r="C76" t="s">
        <v>42</v>
      </c>
      <c r="D76" t="s">
        <v>34</v>
      </c>
      <c r="E76" t="s">
        <v>26</v>
      </c>
      <c r="F76">
        <v>-22.606651578947371</v>
      </c>
      <c r="G76">
        <v>0.99155277364487859</v>
      </c>
      <c r="H76">
        <v>13.33073275578025</v>
      </c>
      <c r="I76">
        <v>3.0245903800054211E-2</v>
      </c>
      <c r="J76">
        <v>3.544246315789469</v>
      </c>
      <c r="K76">
        <v>-109.9925766405528</v>
      </c>
      <c r="L76">
        <v>3529.1807353949698</v>
      </c>
      <c r="M76">
        <v>-7.2138180570725276E-3</v>
      </c>
      <c r="N76">
        <v>0.99357469277178256</v>
      </c>
      <c r="O76">
        <v>18578.20959851686</v>
      </c>
      <c r="P76">
        <v>6.9953816944308769E-4</v>
      </c>
      <c r="Q76">
        <v>2.982751268698847E-2</v>
      </c>
    </row>
    <row r="77" spans="1:17" x14ac:dyDescent="0.2">
      <c r="A77" t="s">
        <v>41</v>
      </c>
      <c r="B77" t="s">
        <v>18</v>
      </c>
      <c r="C77" t="s">
        <v>42</v>
      </c>
      <c r="D77" t="s">
        <v>34</v>
      </c>
      <c r="E77" t="s">
        <v>27</v>
      </c>
      <c r="F77">
        <v>-41.191055555555558</v>
      </c>
      <c r="G77">
        <v>0.96293680422755457</v>
      </c>
      <c r="H77">
        <v>359.62345491116179</v>
      </c>
      <c r="I77">
        <v>0.9705297728096024</v>
      </c>
      <c r="J77">
        <v>11.673844444444461</v>
      </c>
      <c r="K77">
        <v>172.991843505802</v>
      </c>
      <c r="L77">
        <v>3672.9422153925329</v>
      </c>
      <c r="M77">
        <v>-1.262634723745709E-2</v>
      </c>
      <c r="N77">
        <v>0.96878836394424594</v>
      </c>
      <c r="O77">
        <v>18199.141694504749</v>
      </c>
      <c r="P77">
        <v>1.6857121819853792E-2</v>
      </c>
      <c r="Q77">
        <v>0.96554016560931877</v>
      </c>
    </row>
    <row r="78" spans="1:17" x14ac:dyDescent="0.2">
      <c r="A78" t="s">
        <v>41</v>
      </c>
      <c r="B78" t="s">
        <v>18</v>
      </c>
      <c r="C78" t="s">
        <v>42</v>
      </c>
      <c r="D78" t="s">
        <v>34</v>
      </c>
      <c r="E78" t="s">
        <v>28</v>
      </c>
      <c r="F78">
        <v>-21.631664210526321</v>
      </c>
      <c r="G78">
        <v>0.98715377788827618</v>
      </c>
      <c r="H78">
        <v>65.853705342653413</v>
      </c>
      <c r="I78">
        <v>0.58395000333861158</v>
      </c>
      <c r="J78">
        <v>4.5192336842105227</v>
      </c>
      <c r="K78">
        <v>-57.469604053679653</v>
      </c>
      <c r="L78">
        <v>3432.221146326684</v>
      </c>
      <c r="M78">
        <v>-7.0959600006271191E-3</v>
      </c>
      <c r="N78">
        <v>0.99078547035055209</v>
      </c>
      <c r="O78">
        <v>20105.155991906111</v>
      </c>
      <c r="P78">
        <v>3.093487993206071E-3</v>
      </c>
      <c r="Q78">
        <v>0.58046667476240421</v>
      </c>
    </row>
    <row r="79" spans="1:17" x14ac:dyDescent="0.2">
      <c r="A79" t="s">
        <v>41</v>
      </c>
      <c r="B79" t="s">
        <v>18</v>
      </c>
      <c r="C79" t="s">
        <v>42</v>
      </c>
      <c r="D79" t="s">
        <v>34</v>
      </c>
      <c r="E79" t="s">
        <v>29</v>
      </c>
      <c r="F79">
        <v>-30.02085555555556</v>
      </c>
      <c r="G79">
        <v>0.95520767566786857</v>
      </c>
      <c r="H79">
        <v>-2098.0717910546032</v>
      </c>
      <c r="I79">
        <v>0.67480145270146386</v>
      </c>
      <c r="J79">
        <v>22.84404444444446</v>
      </c>
      <c r="K79">
        <v>-2284.703402459962</v>
      </c>
      <c r="L79">
        <v>2626.4589095059018</v>
      </c>
      <c r="M79">
        <v>-1.291697067096205E-2</v>
      </c>
      <c r="N79">
        <v>0.96212676918951301</v>
      </c>
      <c r="O79">
        <v>56115.43729259391</v>
      </c>
      <c r="P79">
        <v>-0.25658033285892889</v>
      </c>
      <c r="Q79">
        <v>0.73857634315857668</v>
      </c>
    </row>
    <row r="80" spans="1:17" x14ac:dyDescent="0.2">
      <c r="A80" t="s">
        <v>41</v>
      </c>
      <c r="B80" t="s">
        <v>18</v>
      </c>
      <c r="C80" t="s">
        <v>42</v>
      </c>
      <c r="D80" t="s">
        <v>34</v>
      </c>
      <c r="E80" t="s">
        <v>30</v>
      </c>
      <c r="F80">
        <v>-25.55571315789474</v>
      </c>
      <c r="G80">
        <v>0.99290506195850359</v>
      </c>
      <c r="H80">
        <v>1.52885461587646</v>
      </c>
      <c r="I80">
        <v>5.0757803134660051E-4</v>
      </c>
      <c r="J80">
        <v>0.59518473684210349</v>
      </c>
      <c r="K80">
        <v>-121.7944547804566</v>
      </c>
      <c r="L80">
        <v>3550.873059402601</v>
      </c>
      <c r="M80">
        <v>-8.2415251595928368E-3</v>
      </c>
      <c r="N80">
        <v>0.99528992943237871</v>
      </c>
      <c r="O80">
        <v>18452.824205450579</v>
      </c>
      <c r="P80">
        <v>8.229811238718943E-5</v>
      </c>
      <c r="Q80">
        <v>5.0484243781823146E-4</v>
      </c>
    </row>
    <row r="81" spans="1:17" x14ac:dyDescent="0.2">
      <c r="A81" t="s">
        <v>43</v>
      </c>
      <c r="B81" t="s">
        <v>18</v>
      </c>
      <c r="C81" t="s">
        <v>42</v>
      </c>
      <c r="D81" t="s">
        <v>34</v>
      </c>
      <c r="E81" t="s">
        <v>21</v>
      </c>
      <c r="F81">
        <v>-42.286177777777773</v>
      </c>
      <c r="G81">
        <v>0.99487554801471811</v>
      </c>
      <c r="H81">
        <v>-9.0930680016554424E-3</v>
      </c>
      <c r="I81">
        <v>3.2378486225503877E-8</v>
      </c>
      <c r="J81">
        <v>0</v>
      </c>
      <c r="K81">
        <v>0</v>
      </c>
      <c r="L81">
        <v>4353.3442491605711</v>
      </c>
      <c r="M81">
        <v>-1.067944346423437E-2</v>
      </c>
      <c r="N81">
        <v>0.99441529238324933</v>
      </c>
      <c r="O81">
        <v>15623.973591181521</v>
      </c>
      <c r="P81">
        <v>-9.6474120699191966E-7</v>
      </c>
      <c r="Q81">
        <v>1.7769038906934039E-8</v>
      </c>
    </row>
    <row r="82" spans="1:17" x14ac:dyDescent="0.2">
      <c r="A82" t="s">
        <v>43</v>
      </c>
      <c r="B82" t="s">
        <v>18</v>
      </c>
      <c r="C82" t="s">
        <v>42</v>
      </c>
      <c r="D82" t="s">
        <v>34</v>
      </c>
      <c r="E82" t="s">
        <v>22</v>
      </c>
      <c r="F82">
        <v>-33.870923684210517</v>
      </c>
      <c r="G82">
        <v>0.99267406014561854</v>
      </c>
      <c r="H82">
        <v>46.145276940677547</v>
      </c>
      <c r="I82">
        <v>0.6979198566473066</v>
      </c>
      <c r="J82">
        <v>0</v>
      </c>
      <c r="K82">
        <v>0</v>
      </c>
      <c r="L82">
        <v>4125.6060933400549</v>
      </c>
      <c r="M82">
        <v>-9.6286414570115816E-3</v>
      </c>
      <c r="N82">
        <v>0.99698426328745993</v>
      </c>
      <c r="O82">
        <v>14894.246943333999</v>
      </c>
      <c r="P82">
        <v>2.9472005077430339E-3</v>
      </c>
      <c r="Q82">
        <v>0.69704369646958275</v>
      </c>
    </row>
    <row r="83" spans="1:17" x14ac:dyDescent="0.2">
      <c r="A83" t="s">
        <v>43</v>
      </c>
      <c r="B83" t="s">
        <v>18</v>
      </c>
      <c r="C83" t="s">
        <v>42</v>
      </c>
      <c r="D83" t="s">
        <v>34</v>
      </c>
      <c r="E83" t="s">
        <v>23</v>
      </c>
      <c r="F83">
        <v>-41.953133333333319</v>
      </c>
      <c r="G83">
        <v>0.97818833659412829</v>
      </c>
      <c r="H83">
        <v>107.01573440044081</v>
      </c>
      <c r="I83">
        <v>0.84541194482627902</v>
      </c>
      <c r="J83">
        <v>0.3330444444444538</v>
      </c>
      <c r="K83">
        <v>107.0248274684425</v>
      </c>
      <c r="L83">
        <v>4596.8245595575227</v>
      </c>
      <c r="M83">
        <v>-1.0003234801964359E-2</v>
      </c>
      <c r="N83">
        <v>0.98054148285057607</v>
      </c>
      <c r="O83">
        <v>13702.24522939214</v>
      </c>
      <c r="P83">
        <v>7.3426087779780444E-3</v>
      </c>
      <c r="Q83">
        <v>0.84943094660305607</v>
      </c>
    </row>
    <row r="84" spans="1:17" x14ac:dyDescent="0.2">
      <c r="A84" t="s">
        <v>43</v>
      </c>
      <c r="B84" t="s">
        <v>18</v>
      </c>
      <c r="C84" t="s">
        <v>42</v>
      </c>
      <c r="D84" t="s">
        <v>34</v>
      </c>
      <c r="E84" t="s">
        <v>24</v>
      </c>
      <c r="F84">
        <v>-29.639869473684229</v>
      </c>
      <c r="G84">
        <v>0.99432146309190728</v>
      </c>
      <c r="H84">
        <v>50.588282270826227</v>
      </c>
      <c r="I84">
        <v>0.8289478154692328</v>
      </c>
      <c r="J84">
        <v>4.2310542105262954</v>
      </c>
      <c r="K84">
        <v>4.4430053301486794</v>
      </c>
      <c r="L84">
        <v>4223.9703220903457</v>
      </c>
      <c r="M84">
        <v>-7.9961594088989955E-3</v>
      </c>
      <c r="N84">
        <v>0.99570128639262812</v>
      </c>
      <c r="O84">
        <v>14433.467725100139</v>
      </c>
      <c r="P84">
        <v>3.3186566338867648E-3</v>
      </c>
      <c r="Q84">
        <v>0.829169908808147</v>
      </c>
    </row>
    <row r="85" spans="1:17" x14ac:dyDescent="0.2">
      <c r="A85" t="s">
        <v>43</v>
      </c>
      <c r="B85" t="s">
        <v>18</v>
      </c>
      <c r="C85" t="s">
        <v>42</v>
      </c>
      <c r="D85" t="s">
        <v>34</v>
      </c>
      <c r="E85" t="s">
        <v>25</v>
      </c>
      <c r="F85">
        <v>-48.903788888888933</v>
      </c>
      <c r="G85">
        <v>0.95587247704425271</v>
      </c>
      <c r="H85">
        <v>129.76982289922231</v>
      </c>
      <c r="I85">
        <v>0.86126732938100747</v>
      </c>
      <c r="J85">
        <v>-6.6176111111111524</v>
      </c>
      <c r="K85">
        <v>129.7789159672239</v>
      </c>
      <c r="L85">
        <v>4510.9528067622168</v>
      </c>
      <c r="M85">
        <v>-1.2168421260659149E-2</v>
      </c>
      <c r="N85">
        <v>0.96262614255578349</v>
      </c>
      <c r="O85">
        <v>13733.413619311959</v>
      </c>
      <c r="P85">
        <v>8.6895103205141249E-3</v>
      </c>
      <c r="Q85">
        <v>0.85695301036165783</v>
      </c>
    </row>
    <row r="86" spans="1:17" x14ac:dyDescent="0.2">
      <c r="A86" t="s">
        <v>43</v>
      </c>
      <c r="B86" t="s">
        <v>18</v>
      </c>
      <c r="C86" t="s">
        <v>42</v>
      </c>
      <c r="D86" t="s">
        <v>34</v>
      </c>
      <c r="E86" t="s">
        <v>26</v>
      </c>
      <c r="F86">
        <v>-27.251178421052622</v>
      </c>
      <c r="G86">
        <v>0.99501860313962354</v>
      </c>
      <c r="H86">
        <v>65.24539474302631</v>
      </c>
      <c r="I86">
        <v>0.79408640894822635</v>
      </c>
      <c r="J86">
        <v>6.6197452631579026</v>
      </c>
      <c r="K86">
        <v>19.100117802348759</v>
      </c>
      <c r="L86">
        <v>4008.4433067493701</v>
      </c>
      <c r="M86">
        <v>-7.7185398764565306E-3</v>
      </c>
      <c r="N86">
        <v>0.99712964517595926</v>
      </c>
      <c r="O86">
        <v>14366.11034096559</v>
      </c>
      <c r="P86">
        <v>4.1896825044324508E-3</v>
      </c>
      <c r="Q86">
        <v>0.78520255476922485</v>
      </c>
    </row>
    <row r="87" spans="1:17" x14ac:dyDescent="0.2">
      <c r="A87" t="s">
        <v>43</v>
      </c>
      <c r="B87" t="s">
        <v>18</v>
      </c>
      <c r="C87" t="s">
        <v>42</v>
      </c>
      <c r="D87" t="s">
        <v>34</v>
      </c>
      <c r="E87" t="s">
        <v>27</v>
      </c>
      <c r="F87">
        <v>-39.691266666666728</v>
      </c>
      <c r="G87">
        <v>0.99435344673840553</v>
      </c>
      <c r="H87">
        <v>85.474118184338025</v>
      </c>
      <c r="I87">
        <v>0.73906780346262657</v>
      </c>
      <c r="J87">
        <v>2.594911111111045</v>
      </c>
      <c r="K87">
        <v>85.483211252339686</v>
      </c>
      <c r="L87">
        <v>4048.6107359159319</v>
      </c>
      <c r="M87">
        <v>-1.0808056603496321E-2</v>
      </c>
      <c r="N87">
        <v>0.99545186593108115</v>
      </c>
      <c r="O87">
        <v>14637.469585750299</v>
      </c>
      <c r="P87">
        <v>5.5415189831506421E-3</v>
      </c>
      <c r="Q87">
        <v>0.73739151547555692</v>
      </c>
    </row>
    <row r="88" spans="1:17" x14ac:dyDescent="0.2">
      <c r="A88" t="s">
        <v>43</v>
      </c>
      <c r="B88" t="s">
        <v>18</v>
      </c>
      <c r="C88" t="s">
        <v>42</v>
      </c>
      <c r="D88" t="s">
        <v>34</v>
      </c>
      <c r="E88" t="s">
        <v>28</v>
      </c>
      <c r="F88">
        <v>-30.343084736842119</v>
      </c>
      <c r="G88">
        <v>0.99374207140942794</v>
      </c>
      <c r="H88">
        <v>24.997891783859661</v>
      </c>
      <c r="I88">
        <v>0.4898115888396507</v>
      </c>
      <c r="J88">
        <v>3.5278389473684091</v>
      </c>
      <c r="K88">
        <v>-21.14738515681789</v>
      </c>
      <c r="L88">
        <v>3998.1214890747719</v>
      </c>
      <c r="M88">
        <v>-8.7709080989360391E-3</v>
      </c>
      <c r="N88">
        <v>0.99690389855542905</v>
      </c>
      <c r="O88">
        <v>15173.06217386266</v>
      </c>
      <c r="P88">
        <v>1.6066158209976759E-3</v>
      </c>
      <c r="Q88">
        <v>0.49046581865907618</v>
      </c>
    </row>
    <row r="89" spans="1:17" x14ac:dyDescent="0.2">
      <c r="A89" t="s">
        <v>43</v>
      </c>
      <c r="B89" t="s">
        <v>18</v>
      </c>
      <c r="C89" t="s">
        <v>42</v>
      </c>
      <c r="D89" t="s">
        <v>34</v>
      </c>
      <c r="E89" t="s">
        <v>29</v>
      </c>
      <c r="F89">
        <v>-43.515877777777767</v>
      </c>
      <c r="G89">
        <v>0.9952111370290796</v>
      </c>
      <c r="H89">
        <v>188.6507026168814</v>
      </c>
      <c r="I89">
        <v>0.97505495352711946</v>
      </c>
      <c r="J89">
        <v>-1.229699999999994</v>
      </c>
      <c r="K89">
        <v>188.65979568488299</v>
      </c>
      <c r="L89">
        <v>2858.2787255569692</v>
      </c>
      <c r="M89">
        <v>-1.774914615707722E-2</v>
      </c>
      <c r="N89">
        <v>0.9912476213072996</v>
      </c>
      <c r="O89">
        <v>17266.436347294079</v>
      </c>
      <c r="P89">
        <v>9.9891094907796525E-3</v>
      </c>
      <c r="Q89">
        <v>0.97601826406391334</v>
      </c>
    </row>
    <row r="90" spans="1:17" x14ac:dyDescent="0.2">
      <c r="A90" t="s">
        <v>43</v>
      </c>
      <c r="B90" t="s">
        <v>18</v>
      </c>
      <c r="C90" t="s">
        <v>42</v>
      </c>
      <c r="D90" t="s">
        <v>34</v>
      </c>
      <c r="E90" t="s">
        <v>30</v>
      </c>
      <c r="F90">
        <v>-31.828581578947379</v>
      </c>
      <c r="G90">
        <v>0.99515345318757786</v>
      </c>
      <c r="H90">
        <v>24.232688260662481</v>
      </c>
      <c r="I90">
        <v>0.47186814372400671</v>
      </c>
      <c r="J90">
        <v>2.042342105263149</v>
      </c>
      <c r="K90">
        <v>-21.91258868001508</v>
      </c>
      <c r="L90">
        <v>3973.5819841041821</v>
      </c>
      <c r="M90">
        <v>-9.3422828742019976E-3</v>
      </c>
      <c r="N90">
        <v>0.99845730058852344</v>
      </c>
      <c r="O90">
        <v>15426.978354446899</v>
      </c>
      <c r="P90">
        <v>1.533464246093212E-3</v>
      </c>
      <c r="Q90">
        <v>0.47244830290170342</v>
      </c>
    </row>
    <row r="91" spans="1:17" x14ac:dyDescent="0.2">
      <c r="A91" t="s">
        <v>44</v>
      </c>
      <c r="B91" t="s">
        <v>18</v>
      </c>
      <c r="C91" t="s">
        <v>19</v>
      </c>
      <c r="D91" t="s">
        <v>20</v>
      </c>
      <c r="E91" t="s">
        <v>21</v>
      </c>
      <c r="F91">
        <v>-26.748111111111111</v>
      </c>
      <c r="G91">
        <v>0.98354992847397116</v>
      </c>
      <c r="H91">
        <v>-13.87458190625717</v>
      </c>
      <c r="I91">
        <v>0.97189484479411559</v>
      </c>
      <c r="J91">
        <v>0</v>
      </c>
      <c r="K91">
        <v>0</v>
      </c>
      <c r="L91">
        <v>2284.0573507870449</v>
      </c>
      <c r="M91">
        <v>-1.3231080696077171E-2</v>
      </c>
      <c r="N91">
        <v>0.98772552913066858</v>
      </c>
      <c r="O91">
        <v>1073.8082520368971</v>
      </c>
      <c r="P91">
        <v>-1.485975109299153E-2</v>
      </c>
      <c r="Q91">
        <v>0.97937856812502455</v>
      </c>
    </row>
    <row r="92" spans="1:17" x14ac:dyDescent="0.2">
      <c r="A92" t="s">
        <v>44</v>
      </c>
      <c r="B92" t="s">
        <v>18</v>
      </c>
      <c r="C92" t="s">
        <v>19</v>
      </c>
      <c r="D92" t="s">
        <v>20</v>
      </c>
      <c r="E92" t="s">
        <v>22</v>
      </c>
      <c r="F92">
        <v>-17.917905263157898</v>
      </c>
      <c r="G92">
        <v>0.99180104395237312</v>
      </c>
      <c r="H92">
        <v>-8.0393313972405416</v>
      </c>
      <c r="I92">
        <v>0.98777740643188505</v>
      </c>
      <c r="J92">
        <v>0</v>
      </c>
      <c r="K92">
        <v>0</v>
      </c>
      <c r="L92">
        <v>2173.9466739965392</v>
      </c>
      <c r="M92">
        <v>-9.6800928977095052E-3</v>
      </c>
      <c r="N92">
        <v>0.996709905649381</v>
      </c>
      <c r="O92">
        <v>998.51937253390088</v>
      </c>
      <c r="P92">
        <v>-9.429973169758148E-3</v>
      </c>
      <c r="Q92">
        <v>0.99384886435115094</v>
      </c>
    </row>
    <row r="93" spans="1:17" x14ac:dyDescent="0.2">
      <c r="A93" t="s">
        <v>44</v>
      </c>
      <c r="B93" t="s">
        <v>18</v>
      </c>
      <c r="C93" t="s">
        <v>19</v>
      </c>
      <c r="D93" t="s">
        <v>20</v>
      </c>
      <c r="E93" t="s">
        <v>23</v>
      </c>
      <c r="F93">
        <v>-22.749211111111119</v>
      </c>
      <c r="G93">
        <v>0.95778564617488815</v>
      </c>
      <c r="H93">
        <v>17.261601735420498</v>
      </c>
      <c r="I93">
        <v>0.1343496378582677</v>
      </c>
      <c r="J93">
        <v>3.9988999999999879</v>
      </c>
      <c r="K93">
        <v>31.136183641677679</v>
      </c>
      <c r="L93">
        <v>1791.7740592050441</v>
      </c>
      <c r="M93">
        <v>-1.4583642063787639E-2</v>
      </c>
      <c r="N93">
        <v>0.96630137214447553</v>
      </c>
      <c r="O93">
        <v>664.83637504394585</v>
      </c>
      <c r="P93">
        <v>2.3981324910996499E-2</v>
      </c>
      <c r="Q93">
        <v>0.15442552771841239</v>
      </c>
    </row>
    <row r="94" spans="1:17" x14ac:dyDescent="0.2">
      <c r="A94" t="s">
        <v>44</v>
      </c>
      <c r="B94" t="s">
        <v>18</v>
      </c>
      <c r="C94" t="s">
        <v>19</v>
      </c>
      <c r="D94" t="s">
        <v>20</v>
      </c>
      <c r="E94" t="s">
        <v>24</v>
      </c>
      <c r="F94">
        <v>-16.663208947368432</v>
      </c>
      <c r="G94">
        <v>0.99254158016647676</v>
      </c>
      <c r="H94">
        <v>-7.3635751381664063</v>
      </c>
      <c r="I94">
        <v>0.98950691018330117</v>
      </c>
      <c r="J94">
        <v>1.2546963157894699</v>
      </c>
      <c r="K94">
        <v>0.67575625907413528</v>
      </c>
      <c r="L94">
        <v>2034.006324019477</v>
      </c>
      <c r="M94">
        <v>-9.5975828798216273E-3</v>
      </c>
      <c r="N94">
        <v>0.99623968254241135</v>
      </c>
      <c r="O94">
        <v>931.99980218005885</v>
      </c>
      <c r="P94">
        <v>-9.2085118932217717E-3</v>
      </c>
      <c r="Q94">
        <v>0.99417976857172929</v>
      </c>
    </row>
    <row r="95" spans="1:17" x14ac:dyDescent="0.2">
      <c r="A95" t="s">
        <v>44</v>
      </c>
      <c r="B95" t="s">
        <v>18</v>
      </c>
      <c r="C95" t="s">
        <v>19</v>
      </c>
      <c r="D95" t="s">
        <v>20</v>
      </c>
      <c r="E95" t="s">
        <v>25</v>
      </c>
      <c r="F95">
        <v>-22.911022222222218</v>
      </c>
      <c r="G95">
        <v>0.95333895088973641</v>
      </c>
      <c r="H95">
        <v>-10.625773405520309</v>
      </c>
      <c r="I95">
        <v>0.92351127794873644</v>
      </c>
      <c r="J95">
        <v>3.8370888888888861</v>
      </c>
      <c r="K95">
        <v>3.2488085007368599</v>
      </c>
      <c r="L95">
        <v>1841.534365582369</v>
      </c>
      <c r="M95">
        <v>-1.4229520322767411E-2</v>
      </c>
      <c r="N95">
        <v>0.96068559707114598</v>
      </c>
      <c r="O95">
        <v>870.90487833775762</v>
      </c>
      <c r="P95">
        <v>-1.397053664761976E-2</v>
      </c>
      <c r="Q95">
        <v>0.93381379144711596</v>
      </c>
    </row>
    <row r="96" spans="1:17" x14ac:dyDescent="0.2">
      <c r="A96" t="s">
        <v>44</v>
      </c>
      <c r="B96" t="s">
        <v>18</v>
      </c>
      <c r="C96" t="s">
        <v>19</v>
      </c>
      <c r="D96" t="s">
        <v>20</v>
      </c>
      <c r="E96" t="s">
        <v>26</v>
      </c>
      <c r="F96">
        <v>-15.81488842105264</v>
      </c>
      <c r="G96">
        <v>0.98853061156362476</v>
      </c>
      <c r="H96">
        <v>-7.3946821949861654</v>
      </c>
      <c r="I96">
        <v>0.98141075391733534</v>
      </c>
      <c r="J96">
        <v>2.1030168421052622</v>
      </c>
      <c r="K96">
        <v>0.64464920225437616</v>
      </c>
      <c r="L96">
        <v>2092.2172727936472</v>
      </c>
      <c r="M96">
        <v>-8.744522579041453E-3</v>
      </c>
      <c r="N96">
        <v>0.99307699963421281</v>
      </c>
      <c r="O96">
        <v>967.93700446720402</v>
      </c>
      <c r="P96">
        <v>-8.8752762398189092E-3</v>
      </c>
      <c r="Q96">
        <v>0.98803908870697432</v>
      </c>
    </row>
    <row r="97" spans="1:17" x14ac:dyDescent="0.2">
      <c r="A97" t="s">
        <v>44</v>
      </c>
      <c r="B97" t="s">
        <v>18</v>
      </c>
      <c r="C97" t="s">
        <v>19</v>
      </c>
      <c r="D97" t="s">
        <v>20</v>
      </c>
      <c r="E97" t="s">
        <v>27</v>
      </c>
      <c r="F97">
        <v>-20.667222222222229</v>
      </c>
      <c r="G97">
        <v>0.96593161724222287</v>
      </c>
      <c r="H97">
        <v>-8.8812249841980577</v>
      </c>
      <c r="I97">
        <v>0.92649599362973967</v>
      </c>
      <c r="J97">
        <v>6.0808888888888788</v>
      </c>
      <c r="K97">
        <v>4.9933569220591139</v>
      </c>
      <c r="L97">
        <v>1721.920838864231</v>
      </c>
      <c r="M97">
        <v>-1.3646428166625551E-2</v>
      </c>
      <c r="N97">
        <v>0.97260407149827754</v>
      </c>
      <c r="O97">
        <v>818.09999514247977</v>
      </c>
      <c r="P97">
        <v>-1.22228308183072E-2</v>
      </c>
      <c r="Q97">
        <v>0.93548042347887994</v>
      </c>
    </row>
    <row r="98" spans="1:17" x14ac:dyDescent="0.2">
      <c r="A98" t="s">
        <v>44</v>
      </c>
      <c r="B98" t="s">
        <v>18</v>
      </c>
      <c r="C98" t="s">
        <v>19</v>
      </c>
      <c r="D98" t="s">
        <v>20</v>
      </c>
      <c r="E98" t="s">
        <v>28</v>
      </c>
      <c r="F98">
        <v>-15.68482</v>
      </c>
      <c r="G98">
        <v>0.99332359865615238</v>
      </c>
      <c r="H98">
        <v>-6.9193820226118321</v>
      </c>
      <c r="I98">
        <v>0.98596717603027373</v>
      </c>
      <c r="J98">
        <v>2.233085263157895</v>
      </c>
      <c r="K98">
        <v>1.119949374628709</v>
      </c>
      <c r="L98">
        <v>2026.6669783342891</v>
      </c>
      <c r="M98">
        <v>-8.9745754677153719E-3</v>
      </c>
      <c r="N98">
        <v>0.99666226567908811</v>
      </c>
      <c r="O98">
        <v>925.71074547496244</v>
      </c>
      <c r="P98">
        <v>-8.6422179029493444E-3</v>
      </c>
      <c r="Q98">
        <v>0.99156096344170974</v>
      </c>
    </row>
    <row r="99" spans="1:17" x14ac:dyDescent="0.2">
      <c r="A99" t="s">
        <v>44</v>
      </c>
      <c r="B99" t="s">
        <v>18</v>
      </c>
      <c r="C99" t="s">
        <v>19</v>
      </c>
      <c r="D99" t="s">
        <v>20</v>
      </c>
      <c r="E99" t="s">
        <v>29</v>
      </c>
      <c r="F99">
        <v>-15.38126666666666</v>
      </c>
      <c r="G99">
        <v>0.9741551314213468</v>
      </c>
      <c r="H99">
        <v>8.3353014885247099</v>
      </c>
      <c r="I99">
        <v>4.4937861692329488E-2</v>
      </c>
      <c r="J99">
        <v>11.36684444444445</v>
      </c>
      <c r="K99">
        <v>22.20988339478188</v>
      </c>
      <c r="L99">
        <v>1174.7172713335631</v>
      </c>
      <c r="M99">
        <v>-1.505555086140449E-2</v>
      </c>
      <c r="N99">
        <v>0.97976820188028013</v>
      </c>
      <c r="O99">
        <v>898.54764041491558</v>
      </c>
      <c r="P99">
        <v>8.0900885153043535E-3</v>
      </c>
      <c r="Q99">
        <v>4.2158742172354269E-2</v>
      </c>
    </row>
    <row r="100" spans="1:17" x14ac:dyDescent="0.2">
      <c r="A100" t="s">
        <v>44</v>
      </c>
      <c r="B100" t="s">
        <v>18</v>
      </c>
      <c r="C100" t="s">
        <v>19</v>
      </c>
      <c r="D100" t="s">
        <v>20</v>
      </c>
      <c r="E100" t="s">
        <v>30</v>
      </c>
      <c r="F100">
        <v>-16.026257894736851</v>
      </c>
      <c r="G100">
        <v>0.99072492316842498</v>
      </c>
      <c r="H100">
        <v>-6.6443458601100849</v>
      </c>
      <c r="I100">
        <v>0.98496110285910421</v>
      </c>
      <c r="J100">
        <v>1.8916473684210511</v>
      </c>
      <c r="K100">
        <v>1.3949855371304569</v>
      </c>
      <c r="L100">
        <v>1960.230781936865</v>
      </c>
      <c r="M100">
        <v>-9.5887216764383772E-3</v>
      </c>
      <c r="N100">
        <v>0.99567959932656858</v>
      </c>
      <c r="O100">
        <v>889.58867484019197</v>
      </c>
      <c r="P100">
        <v>-8.6445447721389002E-3</v>
      </c>
      <c r="Q100">
        <v>0.99154539122321084</v>
      </c>
    </row>
    <row r="101" spans="1:17" x14ac:dyDescent="0.2">
      <c r="A101" t="s">
        <v>45</v>
      </c>
      <c r="B101" t="s">
        <v>18</v>
      </c>
      <c r="C101" t="s">
        <v>33</v>
      </c>
      <c r="D101" t="s">
        <v>20</v>
      </c>
      <c r="E101" t="s">
        <v>21</v>
      </c>
      <c r="F101">
        <v>-2.0001333333333342</v>
      </c>
      <c r="G101">
        <v>0.97380019790102701</v>
      </c>
      <c r="H101">
        <v>-8.9048274029102501</v>
      </c>
      <c r="I101">
        <v>0.42910464414354699</v>
      </c>
      <c r="J101">
        <v>0</v>
      </c>
      <c r="K101">
        <v>0</v>
      </c>
      <c r="L101">
        <v>116.86547376938969</v>
      </c>
      <c r="M101">
        <v>-2.063554653532701E-2</v>
      </c>
      <c r="N101">
        <v>0.9781098212152961</v>
      </c>
      <c r="O101">
        <v>429.28194774652229</v>
      </c>
      <c r="P101">
        <v>-2.4387216771066061E-2</v>
      </c>
      <c r="Q101">
        <v>0.40647828527680407</v>
      </c>
    </row>
    <row r="102" spans="1:17" x14ac:dyDescent="0.2">
      <c r="A102" t="s">
        <v>45</v>
      </c>
      <c r="B102" t="s">
        <v>18</v>
      </c>
      <c r="C102" t="s">
        <v>33</v>
      </c>
      <c r="D102" t="s">
        <v>20</v>
      </c>
      <c r="E102" t="s">
        <v>22</v>
      </c>
      <c r="F102">
        <v>-2.209487368421053</v>
      </c>
      <c r="G102">
        <v>0.96539396171938952</v>
      </c>
      <c r="H102">
        <v>-4.4412113151821524</v>
      </c>
      <c r="I102">
        <v>0.1508951101042478</v>
      </c>
      <c r="J102">
        <v>0</v>
      </c>
      <c r="K102">
        <v>0</v>
      </c>
      <c r="L102">
        <v>152.13473023230929</v>
      </c>
      <c r="M102">
        <v>-2.0426741654687899E-2</v>
      </c>
      <c r="N102">
        <v>0.98429894509200733</v>
      </c>
      <c r="O102">
        <v>415.93300207946749</v>
      </c>
      <c r="P102">
        <v>-1.430172506671991E-2</v>
      </c>
      <c r="Q102">
        <v>0.16104624501580189</v>
      </c>
    </row>
    <row r="103" spans="1:17" x14ac:dyDescent="0.2">
      <c r="A103" t="s">
        <v>45</v>
      </c>
      <c r="B103" t="s">
        <v>18</v>
      </c>
      <c r="C103" t="s">
        <v>33</v>
      </c>
      <c r="D103" t="s">
        <v>20</v>
      </c>
      <c r="E103" t="s">
        <v>23</v>
      </c>
      <c r="F103">
        <v>-3.4538444444444449</v>
      </c>
      <c r="G103">
        <v>0.95185633973398309</v>
      </c>
      <c r="H103">
        <v>4.6137997882360606</v>
      </c>
      <c r="I103">
        <v>0.17169737758822931</v>
      </c>
      <c r="J103">
        <v>-1.453711111111111</v>
      </c>
      <c r="K103">
        <v>13.51862719114631</v>
      </c>
      <c r="L103">
        <v>163.52452547738949</v>
      </c>
      <c r="M103">
        <v>-2.6994058868241379E-2</v>
      </c>
      <c r="N103">
        <v>0.95911352065460842</v>
      </c>
      <c r="O103">
        <v>303.67025582037252</v>
      </c>
      <c r="P103">
        <v>1.409584539572371E-2</v>
      </c>
      <c r="Q103">
        <v>0.1811227411983157</v>
      </c>
    </row>
    <row r="104" spans="1:17" x14ac:dyDescent="0.2">
      <c r="A104" t="s">
        <v>45</v>
      </c>
      <c r="B104" t="s">
        <v>18</v>
      </c>
      <c r="C104" t="s">
        <v>33</v>
      </c>
      <c r="D104" t="s">
        <v>20</v>
      </c>
      <c r="E104" t="s">
        <v>24</v>
      </c>
      <c r="F104">
        <v>-2.2876847368421069</v>
      </c>
      <c r="G104">
        <v>0.97412764604026369</v>
      </c>
      <c r="H104">
        <v>-1.1365388875427631</v>
      </c>
      <c r="I104">
        <v>7.2919873260788304E-3</v>
      </c>
      <c r="J104">
        <v>-7.8197368421053959E-2</v>
      </c>
      <c r="K104">
        <v>3.3046724276393888</v>
      </c>
      <c r="L104">
        <v>151.7745609187084</v>
      </c>
      <c r="M104">
        <v>-2.1475687365390642E-2</v>
      </c>
      <c r="N104">
        <v>0.99053311596693339</v>
      </c>
      <c r="O104">
        <v>381.82006078871512</v>
      </c>
      <c r="P104">
        <v>-3.1893384620631559E-3</v>
      </c>
      <c r="Q104">
        <v>7.4174313824474369E-3</v>
      </c>
    </row>
    <row r="105" spans="1:17" x14ac:dyDescent="0.2">
      <c r="A105" t="s">
        <v>45</v>
      </c>
      <c r="B105" t="s">
        <v>18</v>
      </c>
      <c r="C105" t="s">
        <v>33</v>
      </c>
      <c r="D105" t="s">
        <v>20</v>
      </c>
      <c r="E105" t="s">
        <v>25</v>
      </c>
      <c r="F105">
        <v>-3.904955555555556</v>
      </c>
      <c r="G105">
        <v>0.94650329146560475</v>
      </c>
      <c r="H105">
        <v>-16.339216813545178</v>
      </c>
      <c r="I105">
        <v>0.27148527431974839</v>
      </c>
      <c r="J105">
        <v>-1.9048222222222211</v>
      </c>
      <c r="K105">
        <v>-7.4343894106349282</v>
      </c>
      <c r="L105">
        <v>170.55397129234589</v>
      </c>
      <c r="M105">
        <v>-3.0476470841226209E-2</v>
      </c>
      <c r="N105">
        <v>0.96407487979093243</v>
      </c>
      <c r="O105">
        <v>494.40938466305983</v>
      </c>
      <c r="P105">
        <v>-6.6439383534618396E-2</v>
      </c>
      <c r="Q105">
        <v>0.30756776796162361</v>
      </c>
    </row>
    <row r="106" spans="1:17" x14ac:dyDescent="0.2">
      <c r="A106" t="s">
        <v>45</v>
      </c>
      <c r="B106" t="s">
        <v>18</v>
      </c>
      <c r="C106" t="s">
        <v>33</v>
      </c>
      <c r="D106" t="s">
        <v>20</v>
      </c>
      <c r="E106" t="s">
        <v>26</v>
      </c>
      <c r="F106">
        <v>-2.1316031578947352</v>
      </c>
      <c r="G106">
        <v>0.9677223019141612</v>
      </c>
      <c r="H106">
        <v>6.4908465956282111</v>
      </c>
      <c r="I106">
        <v>7.7247986741098007E-2</v>
      </c>
      <c r="J106">
        <v>7.7884210526317776E-2</v>
      </c>
      <c r="K106">
        <v>10.932057910810361</v>
      </c>
      <c r="L106">
        <v>148.88465065396721</v>
      </c>
      <c r="M106">
        <v>-1.9963716194894291E-2</v>
      </c>
      <c r="N106">
        <v>0.98504564272795314</v>
      </c>
      <c r="O106">
        <v>380.14429798356389</v>
      </c>
      <c r="P106">
        <v>1.276528079409031E-2</v>
      </c>
      <c r="Q106">
        <v>7.1743350043189991E-2</v>
      </c>
    </row>
    <row r="107" spans="1:17" x14ac:dyDescent="0.2">
      <c r="A107" t="s">
        <v>45</v>
      </c>
      <c r="B107" t="s">
        <v>18</v>
      </c>
      <c r="C107" t="s">
        <v>33</v>
      </c>
      <c r="D107" t="s">
        <v>20</v>
      </c>
      <c r="E107" t="s">
        <v>27</v>
      </c>
      <c r="F107">
        <v>-3.8608555555555548</v>
      </c>
      <c r="G107">
        <v>0.97133792018778364</v>
      </c>
      <c r="H107">
        <v>10.68114162444469</v>
      </c>
      <c r="I107">
        <v>5.7205617186910307E-2</v>
      </c>
      <c r="J107">
        <v>-1.8607222222222211</v>
      </c>
      <c r="K107">
        <v>19.585969027354938</v>
      </c>
      <c r="L107">
        <v>163.04506292230931</v>
      </c>
      <c r="M107">
        <v>-3.1743061480806897E-2</v>
      </c>
      <c r="N107">
        <v>0.9857585339273951</v>
      </c>
      <c r="O107">
        <v>271.18142729021861</v>
      </c>
      <c r="P107">
        <v>2.6452555465965609E-2</v>
      </c>
      <c r="Q107">
        <v>4.9082757336503913E-2</v>
      </c>
    </row>
    <row r="108" spans="1:17" x14ac:dyDescent="0.2">
      <c r="A108" t="s">
        <v>45</v>
      </c>
      <c r="B108" t="s">
        <v>18</v>
      </c>
      <c r="C108" t="s">
        <v>33</v>
      </c>
      <c r="D108" t="s">
        <v>20</v>
      </c>
      <c r="E108" t="s">
        <v>28</v>
      </c>
      <c r="F108">
        <v>-2.059945789473685</v>
      </c>
      <c r="G108">
        <v>0.96365048237724582</v>
      </c>
      <c r="H108">
        <v>-8.3051808296023886</v>
      </c>
      <c r="I108">
        <v>0.262307978025759</v>
      </c>
      <c r="J108">
        <v>0.14954157894736839</v>
      </c>
      <c r="K108">
        <v>-3.8639695144202362</v>
      </c>
      <c r="L108">
        <v>139.54946112140351</v>
      </c>
      <c r="M108">
        <v>-2.099382824151156E-2</v>
      </c>
      <c r="N108">
        <v>0.98525809972691514</v>
      </c>
      <c r="O108">
        <v>481.83771468777047</v>
      </c>
      <c r="P108">
        <v>-2.3470053147832331E-2</v>
      </c>
      <c r="Q108">
        <v>0.24822115059068359</v>
      </c>
    </row>
    <row r="109" spans="1:17" x14ac:dyDescent="0.2">
      <c r="A109" t="s">
        <v>45</v>
      </c>
      <c r="B109" t="s">
        <v>18</v>
      </c>
      <c r="C109" t="s">
        <v>33</v>
      </c>
      <c r="D109" t="s">
        <v>20</v>
      </c>
      <c r="E109" t="s">
        <v>29</v>
      </c>
      <c r="F109">
        <v>-2.9522111111111111</v>
      </c>
      <c r="G109">
        <v>0.98835258344397914</v>
      </c>
      <c r="H109">
        <v>12.37107092905724</v>
      </c>
      <c r="I109">
        <v>8.9528626012159496E-2</v>
      </c>
      <c r="J109">
        <v>-0.95207777777777647</v>
      </c>
      <c r="K109">
        <v>21.2758983319675</v>
      </c>
      <c r="L109">
        <v>133.01689957430651</v>
      </c>
      <c r="M109">
        <v>-2.8685615744395598E-2</v>
      </c>
      <c r="N109">
        <v>0.99278433670804722</v>
      </c>
      <c r="O109">
        <v>204.29102944733711</v>
      </c>
      <c r="P109">
        <v>5.0155155342810231E-2</v>
      </c>
      <c r="Q109">
        <v>0.117910315076057</v>
      </c>
    </row>
    <row r="110" spans="1:17" x14ac:dyDescent="0.2">
      <c r="A110" t="s">
        <v>45</v>
      </c>
      <c r="B110" t="s">
        <v>18</v>
      </c>
      <c r="C110" t="s">
        <v>33</v>
      </c>
      <c r="D110" t="s">
        <v>20</v>
      </c>
      <c r="E110" t="s">
        <v>30</v>
      </c>
      <c r="F110">
        <v>-2.1772994736842102</v>
      </c>
      <c r="G110">
        <v>0.98302293564271837</v>
      </c>
      <c r="H110">
        <v>2.7023709176887949</v>
      </c>
      <c r="I110">
        <v>2.262965620463531E-2</v>
      </c>
      <c r="J110">
        <v>3.2187894736842797E-2</v>
      </c>
      <c r="K110">
        <v>7.1435822328709477</v>
      </c>
      <c r="L110">
        <v>142.35280038841751</v>
      </c>
      <c r="M110">
        <v>-2.1742646818503519E-2</v>
      </c>
      <c r="N110">
        <v>0.99328685254985893</v>
      </c>
      <c r="O110">
        <v>232.97209756960839</v>
      </c>
      <c r="P110">
        <v>1.0622705313870591E-2</v>
      </c>
      <c r="Q110">
        <v>2.476232356276065E-2</v>
      </c>
    </row>
    <row r="111" spans="1:17" x14ac:dyDescent="0.2">
      <c r="A111" t="s">
        <v>46</v>
      </c>
      <c r="B111" t="s">
        <v>32</v>
      </c>
      <c r="C111" t="s">
        <v>33</v>
      </c>
      <c r="D111" t="s">
        <v>34</v>
      </c>
      <c r="E111" t="s">
        <v>21</v>
      </c>
      <c r="F111">
        <v>-4.9031222222222182</v>
      </c>
      <c r="G111">
        <v>0.96176766056213348</v>
      </c>
      <c r="H111">
        <v>-12.935852216524321</v>
      </c>
      <c r="I111">
        <v>0.31124281785704838</v>
      </c>
      <c r="J111">
        <v>0</v>
      </c>
      <c r="K111">
        <v>0</v>
      </c>
      <c r="L111">
        <v>178.8258046406925</v>
      </c>
      <c r="M111">
        <v>-3.8700411071772862E-2</v>
      </c>
      <c r="N111">
        <v>0.96913951861321102</v>
      </c>
      <c r="O111">
        <v>424.06528261058929</v>
      </c>
      <c r="P111">
        <v>-5.1296863678090623E-2</v>
      </c>
      <c r="Q111">
        <v>0.33599412564059761</v>
      </c>
    </row>
    <row r="112" spans="1:17" x14ac:dyDescent="0.2">
      <c r="A112" t="s">
        <v>46</v>
      </c>
      <c r="B112" t="s">
        <v>32</v>
      </c>
      <c r="C112" t="s">
        <v>33</v>
      </c>
      <c r="D112" t="s">
        <v>34</v>
      </c>
      <c r="E112" t="s">
        <v>22</v>
      </c>
      <c r="F112">
        <v>-1.52263052631579</v>
      </c>
      <c r="G112">
        <v>0.97370008818781262</v>
      </c>
      <c r="H112">
        <v>-4.9912468697292551</v>
      </c>
      <c r="I112">
        <v>0.1399309154642718</v>
      </c>
      <c r="J112">
        <v>0</v>
      </c>
      <c r="K112">
        <v>0</v>
      </c>
      <c r="L112">
        <v>130.6322921908405</v>
      </c>
      <c r="M112">
        <v>-1.49400460105274E-2</v>
      </c>
      <c r="N112">
        <v>0.98371571468666974</v>
      </c>
      <c r="O112">
        <v>332.23117491838809</v>
      </c>
      <c r="P112">
        <v>-2.3674396738761719E-2</v>
      </c>
      <c r="Q112">
        <v>0.15272312887474171</v>
      </c>
    </row>
    <row r="113" spans="1:17" x14ac:dyDescent="0.2">
      <c r="A113" t="s">
        <v>46</v>
      </c>
      <c r="B113" t="s">
        <v>32</v>
      </c>
      <c r="C113" t="s">
        <v>33</v>
      </c>
      <c r="D113" t="s">
        <v>34</v>
      </c>
      <c r="E113" t="s">
        <v>23</v>
      </c>
      <c r="F113">
        <v>-3.4825555555555572</v>
      </c>
      <c r="G113">
        <v>0.90034714352717804</v>
      </c>
      <c r="H113">
        <v>7.6162026991431748</v>
      </c>
      <c r="I113">
        <v>0.13452582987952749</v>
      </c>
      <c r="J113">
        <v>1.420566666666661</v>
      </c>
      <c r="K113">
        <v>20.55205491566749</v>
      </c>
      <c r="L113">
        <v>178.68267483078901</v>
      </c>
      <c r="M113">
        <v>-2.4732901905052201E-2</v>
      </c>
      <c r="N113">
        <v>0.91844947733167381</v>
      </c>
      <c r="O113">
        <v>455.28839379741731</v>
      </c>
      <c r="P113">
        <v>1.4280518916890351E-2</v>
      </c>
      <c r="Q113">
        <v>0.1307650210831339</v>
      </c>
    </row>
    <row r="114" spans="1:17" x14ac:dyDescent="0.2">
      <c r="A114" t="s">
        <v>46</v>
      </c>
      <c r="B114" t="s">
        <v>32</v>
      </c>
      <c r="C114" t="s">
        <v>33</v>
      </c>
      <c r="D114" t="s">
        <v>34</v>
      </c>
      <c r="E114" t="s">
        <v>24</v>
      </c>
      <c r="F114">
        <v>-1.4700810526315791</v>
      </c>
      <c r="G114">
        <v>0.96834190780060547</v>
      </c>
      <c r="H114">
        <v>-0.83986610914323934</v>
      </c>
      <c r="I114">
        <v>6.4535677357478996E-3</v>
      </c>
      <c r="J114">
        <v>5.2549473684210923E-2</v>
      </c>
      <c r="K114">
        <v>4.151380760586016</v>
      </c>
      <c r="L114">
        <v>130.57907531379951</v>
      </c>
      <c r="M114">
        <v>-1.4358245294947549E-2</v>
      </c>
      <c r="N114">
        <v>0.98227168137693588</v>
      </c>
      <c r="O114">
        <v>224.01596807898611</v>
      </c>
      <c r="P114">
        <v>-4.6594691203139822E-3</v>
      </c>
      <c r="Q114">
        <v>7.4346213895226656E-3</v>
      </c>
    </row>
    <row r="115" spans="1:17" x14ac:dyDescent="0.2">
      <c r="A115" t="s">
        <v>46</v>
      </c>
      <c r="B115" t="s">
        <v>32</v>
      </c>
      <c r="C115" t="s">
        <v>33</v>
      </c>
      <c r="D115" t="s">
        <v>34</v>
      </c>
      <c r="E115" t="s">
        <v>25</v>
      </c>
      <c r="F115">
        <v>-3.6504777777777768</v>
      </c>
      <c r="G115">
        <v>0.95688701708698343</v>
      </c>
      <c r="H115">
        <v>-9.5263617767859703</v>
      </c>
      <c r="I115">
        <v>0.23361220621304379</v>
      </c>
      <c r="J115">
        <v>1.2526444444444409</v>
      </c>
      <c r="K115">
        <v>3.4094904397383492</v>
      </c>
      <c r="L115">
        <v>178.1772921360886</v>
      </c>
      <c r="M115">
        <v>-2.6152529053689311E-2</v>
      </c>
      <c r="N115">
        <v>0.97001509006176823</v>
      </c>
      <c r="O115">
        <v>608.3248542310389</v>
      </c>
      <c r="P115">
        <v>-1.845873691941206E-2</v>
      </c>
      <c r="Q115">
        <v>0.23380925008893561</v>
      </c>
    </row>
    <row r="116" spans="1:17" x14ac:dyDescent="0.2">
      <c r="A116" t="s">
        <v>46</v>
      </c>
      <c r="B116" t="s">
        <v>32</v>
      </c>
      <c r="C116" t="s">
        <v>33</v>
      </c>
      <c r="D116" t="s">
        <v>34</v>
      </c>
      <c r="E116" t="s">
        <v>26</v>
      </c>
      <c r="F116">
        <v>-1.733295789473684</v>
      </c>
      <c r="G116">
        <v>0.94099089167429195</v>
      </c>
      <c r="H116">
        <v>0.74709525183139658</v>
      </c>
      <c r="I116">
        <v>4.6597630083706756E-3</v>
      </c>
      <c r="J116">
        <v>-0.21066526315789449</v>
      </c>
      <c r="K116">
        <v>5.7383421215606516</v>
      </c>
      <c r="L116">
        <v>136.78103646798581</v>
      </c>
      <c r="M116">
        <v>-1.7017637600806011E-2</v>
      </c>
      <c r="N116">
        <v>0.96468724955081775</v>
      </c>
      <c r="O116">
        <v>191.71071181663231</v>
      </c>
      <c r="P116">
        <v>3.388582733584384E-3</v>
      </c>
      <c r="Q116">
        <v>4.2836301801297827E-3</v>
      </c>
    </row>
    <row r="117" spans="1:17" x14ac:dyDescent="0.2">
      <c r="A117" t="s">
        <v>46</v>
      </c>
      <c r="B117" t="s">
        <v>32</v>
      </c>
      <c r="C117" t="s">
        <v>33</v>
      </c>
      <c r="D117" t="s">
        <v>34</v>
      </c>
      <c r="E117" t="s">
        <v>27</v>
      </c>
      <c r="F117">
        <v>-3.3298777777777708</v>
      </c>
      <c r="G117">
        <v>0.91418428485766845</v>
      </c>
      <c r="H117">
        <v>-41.199957800681297</v>
      </c>
      <c r="I117">
        <v>0.6669116254076739</v>
      </c>
      <c r="J117">
        <v>1.5732444444444471</v>
      </c>
      <c r="K117">
        <v>-28.264105584156979</v>
      </c>
      <c r="L117">
        <v>169.11717319313291</v>
      </c>
      <c r="M117">
        <v>-2.5004524364426229E-2</v>
      </c>
      <c r="N117">
        <v>0.93109542913586107</v>
      </c>
      <c r="O117">
        <v>794.00891016571541</v>
      </c>
      <c r="P117">
        <v>-0.1014662687326711</v>
      </c>
      <c r="Q117">
        <v>0.56712584633482943</v>
      </c>
    </row>
    <row r="118" spans="1:17" x14ac:dyDescent="0.2">
      <c r="A118" t="s">
        <v>46</v>
      </c>
      <c r="B118" t="s">
        <v>32</v>
      </c>
      <c r="C118" t="s">
        <v>33</v>
      </c>
      <c r="D118" t="s">
        <v>34</v>
      </c>
      <c r="E118" t="s">
        <v>28</v>
      </c>
      <c r="F118">
        <v>-1.298049473684211</v>
      </c>
      <c r="G118">
        <v>0.92175725853431567</v>
      </c>
      <c r="H118">
        <v>-8.8747788792335189</v>
      </c>
      <c r="I118">
        <v>0.23103881183240341</v>
      </c>
      <c r="J118">
        <v>0.2245810526315781</v>
      </c>
      <c r="K118">
        <v>-3.8835320095042638</v>
      </c>
      <c r="L118">
        <v>126.0696115118696</v>
      </c>
      <c r="M118">
        <v>-1.29364566816659E-2</v>
      </c>
      <c r="N118">
        <v>0.9415794647443898</v>
      </c>
      <c r="O118">
        <v>482.27353740948422</v>
      </c>
      <c r="P118">
        <v>-2.480074194251293E-2</v>
      </c>
      <c r="Q118">
        <v>0.21197532694305549</v>
      </c>
    </row>
    <row r="119" spans="1:17" x14ac:dyDescent="0.2">
      <c r="A119" t="s">
        <v>46</v>
      </c>
      <c r="B119" t="s">
        <v>32</v>
      </c>
      <c r="C119" t="s">
        <v>33</v>
      </c>
      <c r="D119" t="s">
        <v>34</v>
      </c>
      <c r="E119" t="s">
        <v>29</v>
      </c>
      <c r="F119">
        <v>-3.191211111111111</v>
      </c>
      <c r="G119">
        <v>0.95451262315319707</v>
      </c>
      <c r="H119">
        <v>-32.807104413962499</v>
      </c>
      <c r="I119">
        <v>0.69240501195331561</v>
      </c>
      <c r="J119">
        <v>1.7119111111111069</v>
      </c>
      <c r="K119">
        <v>-19.871252197438181</v>
      </c>
      <c r="L119">
        <v>153.34563186182629</v>
      </c>
      <c r="M119">
        <v>-2.6749513569539321E-2</v>
      </c>
      <c r="N119">
        <v>0.96936588679852698</v>
      </c>
      <c r="O119">
        <v>774.2804808190989</v>
      </c>
      <c r="P119">
        <v>-8.4709052367869783E-2</v>
      </c>
      <c r="Q119">
        <v>0.68173290529892783</v>
      </c>
    </row>
    <row r="120" spans="1:17" x14ac:dyDescent="0.2">
      <c r="A120" t="s">
        <v>46</v>
      </c>
      <c r="B120" t="s">
        <v>32</v>
      </c>
      <c r="C120" t="s">
        <v>33</v>
      </c>
      <c r="D120" t="s">
        <v>34</v>
      </c>
      <c r="E120" t="s">
        <v>30</v>
      </c>
      <c r="F120">
        <v>-1.4845452631578939</v>
      </c>
      <c r="G120">
        <v>0.97190205802291518</v>
      </c>
      <c r="H120">
        <v>-9.6050175205337975</v>
      </c>
      <c r="I120">
        <v>0.35356077387097939</v>
      </c>
      <c r="J120">
        <v>3.8085263157895399E-2</v>
      </c>
      <c r="K120">
        <v>-4.6137706508045424</v>
      </c>
      <c r="L120">
        <v>125.8561710471276</v>
      </c>
      <c r="M120">
        <v>-1.5238041456350529E-2</v>
      </c>
      <c r="N120">
        <v>0.98509325652005386</v>
      </c>
      <c r="O120">
        <v>493.72135214033841</v>
      </c>
      <c r="P120">
        <v>-4.2800488924263587E-2</v>
      </c>
      <c r="Q120">
        <v>0.40644646909615079</v>
      </c>
    </row>
    <row r="121" spans="1:17" x14ac:dyDescent="0.2">
      <c r="A121" t="s">
        <v>47</v>
      </c>
      <c r="B121" t="s">
        <v>18</v>
      </c>
      <c r="C121" t="s">
        <v>19</v>
      </c>
      <c r="D121" t="s">
        <v>34</v>
      </c>
      <c r="E121" t="s">
        <v>21</v>
      </c>
      <c r="F121">
        <v>-19.50640000000001</v>
      </c>
      <c r="G121">
        <v>0.99446838520008651</v>
      </c>
      <c r="H121">
        <v>-6.625279703149026</v>
      </c>
      <c r="I121">
        <v>0.97737828092606771</v>
      </c>
      <c r="J121">
        <v>0</v>
      </c>
      <c r="K121">
        <v>0</v>
      </c>
      <c r="L121">
        <v>1725.0493075661229</v>
      </c>
      <c r="M121">
        <v>-1.2692263507249821E-2</v>
      </c>
      <c r="N121">
        <v>0.99691323147633149</v>
      </c>
      <c r="O121">
        <v>771.549850018852</v>
      </c>
      <c r="P121">
        <v>-9.3790896327469106E-3</v>
      </c>
      <c r="Q121">
        <v>0.98175469184407749</v>
      </c>
    </row>
    <row r="122" spans="1:17" x14ac:dyDescent="0.2">
      <c r="A122" t="s">
        <v>47</v>
      </c>
      <c r="B122" t="s">
        <v>18</v>
      </c>
      <c r="C122" t="s">
        <v>19</v>
      </c>
      <c r="D122" t="s">
        <v>34</v>
      </c>
      <c r="E122" t="s">
        <v>22</v>
      </c>
      <c r="F122">
        <v>-16.39468789473684</v>
      </c>
      <c r="G122">
        <v>0.99627179187363668</v>
      </c>
      <c r="H122">
        <v>-6.9362368583005969</v>
      </c>
      <c r="I122">
        <v>0.99037381195424312</v>
      </c>
      <c r="J122">
        <v>0</v>
      </c>
      <c r="K122">
        <v>0</v>
      </c>
      <c r="L122">
        <v>2110.234867321095</v>
      </c>
      <c r="M122">
        <v>-9.003347034469129E-3</v>
      </c>
      <c r="N122">
        <v>0.99852526534389496</v>
      </c>
      <c r="O122">
        <v>935.18071202480928</v>
      </c>
      <c r="P122">
        <v>-8.5587346351436132E-3</v>
      </c>
      <c r="Q122">
        <v>0.99537908445021839</v>
      </c>
    </row>
    <row r="123" spans="1:17" x14ac:dyDescent="0.2">
      <c r="A123" t="s">
        <v>47</v>
      </c>
      <c r="B123" t="s">
        <v>18</v>
      </c>
      <c r="C123" t="s">
        <v>19</v>
      </c>
      <c r="D123" t="s">
        <v>34</v>
      </c>
      <c r="E123" t="s">
        <v>23</v>
      </c>
      <c r="F123">
        <v>-22.244044444444452</v>
      </c>
      <c r="G123">
        <v>0.97010176196406284</v>
      </c>
      <c r="H123">
        <v>-9.094509175419871</v>
      </c>
      <c r="I123">
        <v>0.94102596468776412</v>
      </c>
      <c r="J123">
        <v>-2.7376444444444421</v>
      </c>
      <c r="K123">
        <v>-2.469229472270845</v>
      </c>
      <c r="L123">
        <v>1814.238695881266</v>
      </c>
      <c r="M123">
        <v>-1.397973570311415E-2</v>
      </c>
      <c r="N123">
        <v>0.97671774548663715</v>
      </c>
      <c r="O123">
        <v>819.93960842365959</v>
      </c>
      <c r="P123">
        <v>-1.2516828738769831E-2</v>
      </c>
      <c r="Q123">
        <v>0.94986919270410208</v>
      </c>
    </row>
    <row r="124" spans="1:17" x14ac:dyDescent="0.2">
      <c r="A124" t="s">
        <v>47</v>
      </c>
      <c r="B124" t="s">
        <v>18</v>
      </c>
      <c r="C124" t="s">
        <v>19</v>
      </c>
      <c r="D124" t="s">
        <v>34</v>
      </c>
      <c r="E124" t="s">
        <v>24</v>
      </c>
      <c r="F124">
        <v>-16.633902631578952</v>
      </c>
      <c r="G124">
        <v>0.9960963348609535</v>
      </c>
      <c r="H124">
        <v>-6.7687502501272148</v>
      </c>
      <c r="I124">
        <v>0.98872930013138927</v>
      </c>
      <c r="J124">
        <v>-0.23921473684210781</v>
      </c>
      <c r="K124">
        <v>0.1674866081733821</v>
      </c>
      <c r="L124">
        <v>2043.3144797139851</v>
      </c>
      <c r="M124">
        <v>-9.513563684488904E-3</v>
      </c>
      <c r="N124">
        <v>0.99870049434919161</v>
      </c>
      <c r="O124">
        <v>903.04273544862258</v>
      </c>
      <c r="P124">
        <v>-8.6671884791249716E-3</v>
      </c>
      <c r="Q124">
        <v>0.9940536865303089</v>
      </c>
    </row>
    <row r="125" spans="1:17" x14ac:dyDescent="0.2">
      <c r="A125" t="s">
        <v>47</v>
      </c>
      <c r="B125" t="s">
        <v>18</v>
      </c>
      <c r="C125" t="s">
        <v>19</v>
      </c>
      <c r="D125" t="s">
        <v>34</v>
      </c>
      <c r="E125" t="s">
        <v>25</v>
      </c>
      <c r="F125">
        <v>-22.805088888888889</v>
      </c>
      <c r="G125">
        <v>0.94749536960079028</v>
      </c>
      <c r="H125">
        <v>-837.10038125109179</v>
      </c>
      <c r="I125">
        <v>0.3034823136030127</v>
      </c>
      <c r="J125">
        <v>-3.2986888888888828</v>
      </c>
      <c r="K125">
        <v>-830.47510154794281</v>
      </c>
      <c r="L125">
        <v>1798.865722784763</v>
      </c>
      <c r="M125">
        <v>-1.456061378790997E-2</v>
      </c>
      <c r="N125">
        <v>0.95601622770978067</v>
      </c>
      <c r="O125">
        <v>10805332.562677139</v>
      </c>
      <c r="P125">
        <v>-2.1067482081178341</v>
      </c>
      <c r="Q125">
        <v>0.98871646037393823</v>
      </c>
    </row>
    <row r="126" spans="1:17" x14ac:dyDescent="0.2">
      <c r="A126" t="s">
        <v>47</v>
      </c>
      <c r="B126" t="s">
        <v>18</v>
      </c>
      <c r="C126" t="s">
        <v>19</v>
      </c>
      <c r="D126" t="s">
        <v>34</v>
      </c>
      <c r="E126" t="s">
        <v>26</v>
      </c>
      <c r="F126">
        <v>-16.003746842105262</v>
      </c>
      <c r="G126">
        <v>0.98811433828312178</v>
      </c>
      <c r="H126">
        <v>-6.4411223730147968</v>
      </c>
      <c r="I126">
        <v>0.98515600476912801</v>
      </c>
      <c r="J126">
        <v>0.39094105263157891</v>
      </c>
      <c r="K126">
        <v>0.49511448528579999</v>
      </c>
      <c r="L126">
        <v>2005.668584811968</v>
      </c>
      <c r="M126">
        <v>-9.3251662874070072E-3</v>
      </c>
      <c r="N126">
        <v>0.99364739664852597</v>
      </c>
      <c r="O126">
        <v>887.86388962467549</v>
      </c>
      <c r="P126">
        <v>-8.3541190394036697E-3</v>
      </c>
      <c r="Q126">
        <v>0.99128741354309502</v>
      </c>
    </row>
    <row r="127" spans="1:17" x14ac:dyDescent="0.2">
      <c r="A127" t="s">
        <v>47</v>
      </c>
      <c r="B127" t="s">
        <v>18</v>
      </c>
      <c r="C127" t="s">
        <v>19</v>
      </c>
      <c r="D127" t="s">
        <v>34</v>
      </c>
      <c r="E127" t="s">
        <v>27</v>
      </c>
      <c r="F127">
        <v>-21.29388888888889</v>
      </c>
      <c r="G127">
        <v>0.96447938076793527</v>
      </c>
      <c r="H127">
        <v>-7.561157618337079</v>
      </c>
      <c r="I127">
        <v>0.93399537047004333</v>
      </c>
      <c r="J127">
        <v>-1.78748888888888</v>
      </c>
      <c r="K127">
        <v>-0.93587791518805297</v>
      </c>
      <c r="L127">
        <v>1739.6185777416599</v>
      </c>
      <c r="M127">
        <v>-1.3922495351111759E-2</v>
      </c>
      <c r="N127">
        <v>0.96914120716948771</v>
      </c>
      <c r="O127">
        <v>767.62546833532303</v>
      </c>
      <c r="P127">
        <v>-1.0934956530437891E-2</v>
      </c>
      <c r="Q127">
        <v>0.94047349557122939</v>
      </c>
    </row>
    <row r="128" spans="1:17" x14ac:dyDescent="0.2">
      <c r="A128" t="s">
        <v>47</v>
      </c>
      <c r="B128" t="s">
        <v>18</v>
      </c>
      <c r="C128" t="s">
        <v>19</v>
      </c>
      <c r="D128" t="s">
        <v>34</v>
      </c>
      <c r="E128" t="s">
        <v>28</v>
      </c>
      <c r="F128">
        <v>-17.18703578947369</v>
      </c>
      <c r="G128">
        <v>0.99658002210241736</v>
      </c>
      <c r="H128">
        <v>-6.9073582166937344</v>
      </c>
      <c r="I128">
        <v>0.99559644443729689</v>
      </c>
      <c r="J128">
        <v>-0.79234789473684941</v>
      </c>
      <c r="K128">
        <v>2.8878641606863379E-2</v>
      </c>
      <c r="L128">
        <v>2021.7046792056231</v>
      </c>
      <c r="M128">
        <v>-1.0001732656629099E-2</v>
      </c>
      <c r="N128">
        <v>0.99816871217847303</v>
      </c>
      <c r="O128">
        <v>876.75450136031418</v>
      </c>
      <c r="P128">
        <v>-9.15099160210372E-3</v>
      </c>
      <c r="Q128">
        <v>0.99780533632027679</v>
      </c>
    </row>
    <row r="129" spans="1:17" x14ac:dyDescent="0.2">
      <c r="A129" t="s">
        <v>47</v>
      </c>
      <c r="B129" t="s">
        <v>18</v>
      </c>
      <c r="C129" t="s">
        <v>19</v>
      </c>
      <c r="D129" t="s">
        <v>34</v>
      </c>
      <c r="E129" t="s">
        <v>29</v>
      </c>
      <c r="F129">
        <v>-19.21725555555556</v>
      </c>
      <c r="G129">
        <v>0.98383382482944959</v>
      </c>
      <c r="H129">
        <v>-4.0378799305586419</v>
      </c>
      <c r="I129">
        <v>0.41980954362429418</v>
      </c>
      <c r="J129">
        <v>0.28914444444444598</v>
      </c>
      <c r="K129">
        <v>2.5873997725903841</v>
      </c>
      <c r="L129">
        <v>1361.485620045471</v>
      </c>
      <c r="M129">
        <v>-1.640973958047761E-2</v>
      </c>
      <c r="N129">
        <v>0.98867202660623676</v>
      </c>
      <c r="O129">
        <v>608.0227088327548</v>
      </c>
      <c r="P129">
        <v>-7.2507773973770617E-3</v>
      </c>
      <c r="Q129">
        <v>0.42954923173024401</v>
      </c>
    </row>
    <row r="130" spans="1:17" x14ac:dyDescent="0.2">
      <c r="A130" t="s">
        <v>47</v>
      </c>
      <c r="B130" t="s">
        <v>18</v>
      </c>
      <c r="C130" t="s">
        <v>19</v>
      </c>
      <c r="D130" t="s">
        <v>34</v>
      </c>
      <c r="E130" t="s">
        <v>30</v>
      </c>
      <c r="F130">
        <v>-16.076682631578951</v>
      </c>
      <c r="G130">
        <v>0.99209792954680653</v>
      </c>
      <c r="H130">
        <v>-6.2584933611457041</v>
      </c>
      <c r="I130">
        <v>0.99201641560679632</v>
      </c>
      <c r="J130">
        <v>0.31800526315789313</v>
      </c>
      <c r="K130">
        <v>0.67774349715489279</v>
      </c>
      <c r="L130">
        <v>1955.4470477425009</v>
      </c>
      <c r="M130">
        <v>-9.6368685103757016E-3</v>
      </c>
      <c r="N130">
        <v>0.99569982628982034</v>
      </c>
      <c r="O130">
        <v>861.36659973141536</v>
      </c>
      <c r="P130">
        <v>-8.3455785200127371E-3</v>
      </c>
      <c r="Q130">
        <v>0.99577165254380307</v>
      </c>
    </row>
    <row r="131" spans="1:17" x14ac:dyDescent="0.2">
      <c r="A131" t="s">
        <v>48</v>
      </c>
      <c r="B131" t="s">
        <v>18</v>
      </c>
      <c r="C131" t="s">
        <v>33</v>
      </c>
      <c r="D131" t="s">
        <v>20</v>
      </c>
      <c r="E131" t="s">
        <v>21</v>
      </c>
      <c r="F131">
        <v>-2.444977777777777</v>
      </c>
      <c r="G131">
        <v>0.96904536446182621</v>
      </c>
      <c r="H131">
        <v>2.2836048817829191</v>
      </c>
      <c r="I131">
        <v>1.2167645714079359E-2</v>
      </c>
      <c r="J131">
        <v>0</v>
      </c>
      <c r="K131">
        <v>0</v>
      </c>
      <c r="L131">
        <v>127.2896288828064</v>
      </c>
      <c r="M131">
        <v>-2.3877136162665409E-2</v>
      </c>
      <c r="N131">
        <v>0.97568397533623452</v>
      </c>
      <c r="O131">
        <v>228.01353256390769</v>
      </c>
      <c r="P131">
        <v>9.9213035664354916E-3</v>
      </c>
      <c r="Q131">
        <v>1.319767604838917E-2</v>
      </c>
    </row>
    <row r="132" spans="1:17" x14ac:dyDescent="0.2">
      <c r="A132" t="s">
        <v>48</v>
      </c>
      <c r="B132" t="s">
        <v>18</v>
      </c>
      <c r="C132" t="s">
        <v>33</v>
      </c>
      <c r="D132" t="s">
        <v>20</v>
      </c>
      <c r="E132" t="s">
        <v>22</v>
      </c>
      <c r="F132">
        <v>-1.2499205263157891</v>
      </c>
      <c r="G132">
        <v>0.96028493633015966</v>
      </c>
      <c r="H132">
        <v>-0.35653704005410952</v>
      </c>
      <c r="I132">
        <v>1.4535183747628191E-3</v>
      </c>
      <c r="J132">
        <v>0</v>
      </c>
      <c r="K132">
        <v>0</v>
      </c>
      <c r="L132">
        <v>110.8823852788627</v>
      </c>
      <c r="M132">
        <v>-1.437915778649607E-2</v>
      </c>
      <c r="N132">
        <v>0.97384274744380483</v>
      </c>
      <c r="O132">
        <v>163.68647153806111</v>
      </c>
      <c r="P132">
        <v>-2.0219868509354219E-3</v>
      </c>
      <c r="Q132">
        <v>1.3055314892813641E-3</v>
      </c>
    </row>
    <row r="133" spans="1:17" x14ac:dyDescent="0.2">
      <c r="A133" t="s">
        <v>48</v>
      </c>
      <c r="B133" t="s">
        <v>18</v>
      </c>
      <c r="C133" t="s">
        <v>33</v>
      </c>
      <c r="D133" t="s">
        <v>20</v>
      </c>
      <c r="E133" t="s">
        <v>23</v>
      </c>
      <c r="F133">
        <v>-2.1429666666666689</v>
      </c>
      <c r="G133">
        <v>0.92861499273331127</v>
      </c>
      <c r="H133">
        <v>8.089340268231215</v>
      </c>
      <c r="I133">
        <v>5.6282852016229623E-2</v>
      </c>
      <c r="J133">
        <v>0.30201111111110812</v>
      </c>
      <c r="K133">
        <v>5.8057353864482959</v>
      </c>
      <c r="L133">
        <v>90.181272339489453</v>
      </c>
      <c r="M133">
        <v>-3.2104048352554523E-2</v>
      </c>
      <c r="N133">
        <v>0.94662962256567385</v>
      </c>
      <c r="O133">
        <v>84.665521035461282</v>
      </c>
      <c r="P133">
        <v>7.4731966510206485E-2</v>
      </c>
      <c r="Q133">
        <v>8.9981892215893144E-2</v>
      </c>
    </row>
    <row r="134" spans="1:17" x14ac:dyDescent="0.2">
      <c r="A134" t="s">
        <v>48</v>
      </c>
      <c r="B134" t="s">
        <v>18</v>
      </c>
      <c r="C134" t="s">
        <v>33</v>
      </c>
      <c r="D134" t="s">
        <v>20</v>
      </c>
      <c r="E134" t="s">
        <v>24</v>
      </c>
      <c r="F134">
        <v>-1.201263157894737</v>
      </c>
      <c r="G134">
        <v>0.94698017862628769</v>
      </c>
      <c r="H134">
        <v>-2.5015343902507161</v>
      </c>
      <c r="I134">
        <v>6.223202579478071E-2</v>
      </c>
      <c r="J134">
        <v>4.8657368421052727E-2</v>
      </c>
      <c r="K134">
        <v>-2.144997350196606</v>
      </c>
      <c r="L134">
        <v>106.46694763462349</v>
      </c>
      <c r="M134">
        <v>-1.442941820289859E-2</v>
      </c>
      <c r="N134">
        <v>0.96219794836028882</v>
      </c>
      <c r="O134">
        <v>234.20998867080451</v>
      </c>
      <c r="P134">
        <v>-1.224511402945367E-2</v>
      </c>
      <c r="Q134">
        <v>5.8720117607136017E-2</v>
      </c>
    </row>
    <row r="135" spans="1:17" x14ac:dyDescent="0.2">
      <c r="A135" t="s">
        <v>48</v>
      </c>
      <c r="B135" t="s">
        <v>18</v>
      </c>
      <c r="C135" t="s">
        <v>33</v>
      </c>
      <c r="D135" t="s">
        <v>20</v>
      </c>
      <c r="E135" t="s">
        <v>25</v>
      </c>
      <c r="F135">
        <v>-2.007000000000001</v>
      </c>
      <c r="G135">
        <v>0.91530169557197782</v>
      </c>
      <c r="H135">
        <v>-2.9115520495249441</v>
      </c>
      <c r="I135">
        <v>1.621137668684991E-2</v>
      </c>
      <c r="J135">
        <v>0.43797777777777558</v>
      </c>
      <c r="K135">
        <v>-5.1951569313078636</v>
      </c>
      <c r="L135">
        <v>89.108248110381126</v>
      </c>
      <c r="M135">
        <v>-3.0031542002337319E-2</v>
      </c>
      <c r="N135">
        <v>0.9375728285916437</v>
      </c>
      <c r="O135">
        <v>290.32278361277457</v>
      </c>
      <c r="P135">
        <v>-8.9294996045475999E-3</v>
      </c>
      <c r="Q135">
        <v>1.3319441018044159E-2</v>
      </c>
    </row>
    <row r="136" spans="1:17" x14ac:dyDescent="0.2">
      <c r="A136" t="s">
        <v>48</v>
      </c>
      <c r="B136" t="s">
        <v>18</v>
      </c>
      <c r="C136" t="s">
        <v>33</v>
      </c>
      <c r="D136" t="s">
        <v>20</v>
      </c>
      <c r="E136" t="s">
        <v>26</v>
      </c>
      <c r="F136">
        <v>-1.0370231578947371</v>
      </c>
      <c r="G136">
        <v>0.80115267571283455</v>
      </c>
      <c r="H136">
        <v>-2.096513428546213</v>
      </c>
      <c r="I136">
        <v>5.1704731347298472E-2</v>
      </c>
      <c r="J136">
        <v>0.21289736842105239</v>
      </c>
      <c r="K136">
        <v>-1.7399763884921029</v>
      </c>
      <c r="L136">
        <v>103.1319167765871</v>
      </c>
      <c r="M136">
        <v>-1.263887995613589E-2</v>
      </c>
      <c r="N136">
        <v>0.82251040289057531</v>
      </c>
      <c r="O136">
        <v>242.90907675750731</v>
      </c>
      <c r="P136">
        <v>-9.1253961873983842E-3</v>
      </c>
      <c r="Q136">
        <v>4.7228154464477479E-2</v>
      </c>
    </row>
    <row r="137" spans="1:17" x14ac:dyDescent="0.2">
      <c r="A137" t="s">
        <v>48</v>
      </c>
      <c r="B137" t="s">
        <v>18</v>
      </c>
      <c r="C137" t="s">
        <v>33</v>
      </c>
      <c r="D137" t="s">
        <v>20</v>
      </c>
      <c r="E137" t="s">
        <v>27</v>
      </c>
      <c r="F137">
        <v>-1.7354222222222251</v>
      </c>
      <c r="G137">
        <v>0.89610164265726744</v>
      </c>
      <c r="H137">
        <v>10.391908813456491</v>
      </c>
      <c r="I137">
        <v>0.13053917295253589</v>
      </c>
      <c r="J137">
        <v>0.70955555555555194</v>
      </c>
      <c r="K137">
        <v>8.1083039316735679</v>
      </c>
      <c r="L137">
        <v>84.771380437461673</v>
      </c>
      <c r="M137">
        <v>-2.606629998557438E-2</v>
      </c>
      <c r="N137">
        <v>0.9067486524916335</v>
      </c>
      <c r="O137">
        <v>70.339055518823187</v>
      </c>
      <c r="P137">
        <v>9.5618291590112495E-2</v>
      </c>
      <c r="Q137">
        <v>0.2132366755502613</v>
      </c>
    </row>
    <row r="138" spans="1:17" x14ac:dyDescent="0.2">
      <c r="A138" t="s">
        <v>48</v>
      </c>
      <c r="B138" t="s">
        <v>18</v>
      </c>
      <c r="C138" t="s">
        <v>33</v>
      </c>
      <c r="D138" t="s">
        <v>20</v>
      </c>
      <c r="E138" t="s">
        <v>28</v>
      </c>
      <c r="F138">
        <v>-1.1464373684210529</v>
      </c>
      <c r="G138">
        <v>0.89961960110775685</v>
      </c>
      <c r="H138">
        <v>-2.4311392674689181</v>
      </c>
      <c r="I138">
        <v>7.3085263907087805E-2</v>
      </c>
      <c r="J138">
        <v>0.1034831578947364</v>
      </c>
      <c r="K138">
        <v>-2.0746022274148079</v>
      </c>
      <c r="L138">
        <v>103.6428608645314</v>
      </c>
      <c r="M138">
        <v>-1.42180193150331E-2</v>
      </c>
      <c r="N138">
        <v>0.92165497092769477</v>
      </c>
      <c r="O138">
        <v>266.62968874673231</v>
      </c>
      <c r="P138">
        <v>-1.314935611184175E-2</v>
      </c>
      <c r="Q138">
        <v>8.5315687022089692E-2</v>
      </c>
    </row>
    <row r="139" spans="1:17" x14ac:dyDescent="0.2">
      <c r="A139" t="s">
        <v>48</v>
      </c>
      <c r="B139" t="s">
        <v>18</v>
      </c>
      <c r="C139" t="s">
        <v>33</v>
      </c>
      <c r="D139" t="s">
        <v>20</v>
      </c>
      <c r="E139" t="s">
        <v>29</v>
      </c>
      <c r="F139">
        <v>-1.7599888888888851</v>
      </c>
      <c r="G139">
        <v>0.93831801028875739</v>
      </c>
      <c r="H139">
        <v>-18.688705057208381</v>
      </c>
      <c r="I139">
        <v>0.41463366350747399</v>
      </c>
      <c r="J139">
        <v>0.68498888888889153</v>
      </c>
      <c r="K139">
        <v>-20.972309938991302</v>
      </c>
      <c r="L139">
        <v>76.998328306623037</v>
      </c>
      <c r="M139">
        <v>-2.9810392430377732E-2</v>
      </c>
      <c r="N139">
        <v>0.94189666123716265</v>
      </c>
      <c r="O139">
        <v>388.39831103550603</v>
      </c>
      <c r="P139">
        <v>-8.4167760104236738E-2</v>
      </c>
      <c r="Q139">
        <v>0.35791292613759551</v>
      </c>
    </row>
    <row r="140" spans="1:17" x14ac:dyDescent="0.2">
      <c r="A140" t="s">
        <v>48</v>
      </c>
      <c r="B140" t="s">
        <v>18</v>
      </c>
      <c r="C140" t="s">
        <v>33</v>
      </c>
      <c r="D140" t="s">
        <v>20</v>
      </c>
      <c r="E140" t="s">
        <v>30</v>
      </c>
      <c r="F140">
        <v>-1.065777368421053</v>
      </c>
      <c r="G140">
        <v>0.96834052948587945</v>
      </c>
      <c r="H140">
        <v>-6.2019520490510169</v>
      </c>
      <c r="I140">
        <v>0.30365055293735482</v>
      </c>
      <c r="J140">
        <v>0.18414315789473609</v>
      </c>
      <c r="K140">
        <v>-5.8454150089969072</v>
      </c>
      <c r="L140">
        <v>100.5963438842317</v>
      </c>
      <c r="M140">
        <v>-1.316894688418086E-2</v>
      </c>
      <c r="N140">
        <v>0.97512686507628688</v>
      </c>
      <c r="O140">
        <v>331.85231045741602</v>
      </c>
      <c r="P140">
        <v>-3.0915125404865001E-2</v>
      </c>
      <c r="Q140">
        <v>0.31110147957971601</v>
      </c>
    </row>
    <row r="141" spans="1:17" x14ac:dyDescent="0.2">
      <c r="A141" t="s">
        <v>49</v>
      </c>
      <c r="B141" t="s">
        <v>18</v>
      </c>
      <c r="C141" t="s">
        <v>19</v>
      </c>
      <c r="D141" t="s">
        <v>34</v>
      </c>
      <c r="E141" t="s">
        <v>21</v>
      </c>
      <c r="F141">
        <v>-18.726600000000001</v>
      </c>
      <c r="G141">
        <v>0.98335441391373068</v>
      </c>
      <c r="H141">
        <v>-735.40038214205549</v>
      </c>
      <c r="I141">
        <v>0.20213526203031421</v>
      </c>
      <c r="J141">
        <v>0</v>
      </c>
      <c r="K141">
        <v>0</v>
      </c>
      <c r="L141">
        <v>1751.9213897845409</v>
      </c>
      <c r="M141">
        <v>-1.193914150771919E-2</v>
      </c>
      <c r="N141">
        <v>0.98746491764599753</v>
      </c>
      <c r="O141">
        <v>20444.155436634719</v>
      </c>
      <c r="P141">
        <v>-5.773474224295095E-2</v>
      </c>
      <c r="Q141">
        <v>0.19672599825053971</v>
      </c>
    </row>
    <row r="142" spans="1:17" x14ac:dyDescent="0.2">
      <c r="A142" t="s">
        <v>49</v>
      </c>
      <c r="B142" t="s">
        <v>18</v>
      </c>
      <c r="C142" t="s">
        <v>19</v>
      </c>
      <c r="D142" t="s">
        <v>34</v>
      </c>
      <c r="E142" t="s">
        <v>22</v>
      </c>
      <c r="F142">
        <v>-12.92419052631579</v>
      </c>
      <c r="G142">
        <v>0.98993868514381833</v>
      </c>
      <c r="H142">
        <v>490.21444929673208</v>
      </c>
      <c r="I142">
        <v>0.35178951407351428</v>
      </c>
      <c r="J142">
        <v>0</v>
      </c>
      <c r="K142">
        <v>0</v>
      </c>
      <c r="L142">
        <v>1730.1982156729291</v>
      </c>
      <c r="M142">
        <v>-8.6290794944778055E-3</v>
      </c>
      <c r="N142">
        <v>0.99491037195681742</v>
      </c>
      <c r="O142">
        <v>3638.9128553785249</v>
      </c>
      <c r="P142">
        <v>5.055180572380092E-2</v>
      </c>
      <c r="Q142">
        <v>0.33212184583668269</v>
      </c>
    </row>
    <row r="143" spans="1:17" x14ac:dyDescent="0.2">
      <c r="A143" t="s">
        <v>49</v>
      </c>
      <c r="B143" t="s">
        <v>18</v>
      </c>
      <c r="C143" t="s">
        <v>19</v>
      </c>
      <c r="D143" t="s">
        <v>34</v>
      </c>
      <c r="E143" t="s">
        <v>23</v>
      </c>
      <c r="F143">
        <v>-21.298344444444449</v>
      </c>
      <c r="G143">
        <v>0.9544818000043428</v>
      </c>
      <c r="H143">
        <v>-338.43011855010587</v>
      </c>
      <c r="I143">
        <v>3.70453160558748E-2</v>
      </c>
      <c r="J143">
        <v>-2.5717444444444451</v>
      </c>
      <c r="K143">
        <v>396.97026359194962</v>
      </c>
      <c r="L143">
        <v>1895.477773935148</v>
      </c>
      <c r="M143">
        <v>-1.266023482732965E-2</v>
      </c>
      <c r="N143">
        <v>0.96070975463030595</v>
      </c>
      <c r="O143">
        <v>15035.50212022989</v>
      </c>
      <c r="P143">
        <v>-4.3321136115849077E-2</v>
      </c>
      <c r="Q143">
        <v>4.8931407634712383E-2</v>
      </c>
    </row>
    <row r="144" spans="1:17" x14ac:dyDescent="0.2">
      <c r="A144" t="s">
        <v>49</v>
      </c>
      <c r="B144" t="s">
        <v>18</v>
      </c>
      <c r="C144" t="s">
        <v>19</v>
      </c>
      <c r="D144" t="s">
        <v>34</v>
      </c>
      <c r="E144" t="s">
        <v>24</v>
      </c>
      <c r="F144">
        <v>-13.61240789473684</v>
      </c>
      <c r="G144">
        <v>0.98663055888035212</v>
      </c>
      <c r="H144">
        <v>406.30932871385858</v>
      </c>
      <c r="I144">
        <v>0.22840890286121149</v>
      </c>
      <c r="J144">
        <v>-0.68821736842105175</v>
      </c>
      <c r="K144">
        <v>-83.905120582873508</v>
      </c>
      <c r="L144">
        <v>1668.1951980024951</v>
      </c>
      <c r="M144">
        <v>-9.5823530208697816E-3</v>
      </c>
      <c r="N144">
        <v>0.9929065496122953</v>
      </c>
      <c r="O144">
        <v>2091.48602567027</v>
      </c>
      <c r="P144">
        <v>6.8214890510880616E-2</v>
      </c>
      <c r="Q144">
        <v>0.29620590688160209</v>
      </c>
    </row>
    <row r="145" spans="1:17" x14ac:dyDescent="0.2">
      <c r="A145" t="s">
        <v>49</v>
      </c>
      <c r="B145" t="s">
        <v>18</v>
      </c>
      <c r="C145" t="s">
        <v>19</v>
      </c>
      <c r="D145" t="s">
        <v>34</v>
      </c>
      <c r="E145" t="s">
        <v>25</v>
      </c>
      <c r="F145">
        <v>-20.70205555555555</v>
      </c>
      <c r="G145">
        <v>0.96416619749368548</v>
      </c>
      <c r="H145">
        <v>-785.06483867495251</v>
      </c>
      <c r="I145">
        <v>0.1843520526704284</v>
      </c>
      <c r="J145">
        <v>-1.9754555555555451</v>
      </c>
      <c r="K145">
        <v>-49.66445653289702</v>
      </c>
      <c r="L145">
        <v>1758.4805563960149</v>
      </c>
      <c r="M145">
        <v>-1.3350493184322359E-2</v>
      </c>
      <c r="N145">
        <v>0.97083976054373433</v>
      </c>
      <c r="O145">
        <v>1.7302513014101809E-9</v>
      </c>
      <c r="P145">
        <v>1.9859144372812401</v>
      </c>
      <c r="Q145">
        <v>-0.97908791179002352</v>
      </c>
    </row>
    <row r="146" spans="1:17" x14ac:dyDescent="0.2">
      <c r="A146" t="s">
        <v>49</v>
      </c>
      <c r="B146" t="s">
        <v>18</v>
      </c>
      <c r="C146" t="s">
        <v>19</v>
      </c>
      <c r="D146" t="s">
        <v>34</v>
      </c>
      <c r="E146" t="s">
        <v>26</v>
      </c>
      <c r="F146">
        <v>-14.02449684210527</v>
      </c>
      <c r="G146">
        <v>0.98855114937030575</v>
      </c>
      <c r="H146">
        <v>154.45732196849511</v>
      </c>
      <c r="I146">
        <v>4.2323563641419197E-2</v>
      </c>
      <c r="J146">
        <v>-1.1003063157894739</v>
      </c>
      <c r="K146">
        <v>-335.75712732823712</v>
      </c>
      <c r="L146">
        <v>1663.448720874984</v>
      </c>
      <c r="M146">
        <v>-9.9579896664188493E-3</v>
      </c>
      <c r="N146">
        <v>0.99470145020264256</v>
      </c>
      <c r="O146">
        <v>7126.909590384862</v>
      </c>
      <c r="P146">
        <v>1.9656208135344432E-2</v>
      </c>
      <c r="Q146">
        <v>5.411475199335658E-2</v>
      </c>
    </row>
    <row r="147" spans="1:17" x14ac:dyDescent="0.2">
      <c r="A147" t="s">
        <v>49</v>
      </c>
      <c r="B147" t="s">
        <v>18</v>
      </c>
      <c r="C147" t="s">
        <v>19</v>
      </c>
      <c r="D147" t="s">
        <v>34</v>
      </c>
      <c r="E147" t="s">
        <v>27</v>
      </c>
      <c r="F147">
        <v>-21.285533333333319</v>
      </c>
      <c r="G147">
        <v>0.97250667452316986</v>
      </c>
      <c r="H147">
        <v>-126.834061855928</v>
      </c>
      <c r="I147">
        <v>0.26480464795949199</v>
      </c>
      <c r="J147">
        <v>-2.558933333333322</v>
      </c>
      <c r="K147">
        <v>608.56632028612751</v>
      </c>
      <c r="L147">
        <v>1716.0359820904571</v>
      </c>
      <c r="M147">
        <v>-1.416739332033363E-2</v>
      </c>
      <c r="N147">
        <v>0.97922227290834862</v>
      </c>
      <c r="O147">
        <v>15871.19641410111</v>
      </c>
      <c r="P147">
        <v>-8.4665255804450782E-3</v>
      </c>
      <c r="Q147">
        <v>0.26008737780370661</v>
      </c>
    </row>
    <row r="148" spans="1:17" x14ac:dyDescent="0.2">
      <c r="A148" t="s">
        <v>49</v>
      </c>
      <c r="B148" t="s">
        <v>18</v>
      </c>
      <c r="C148" t="s">
        <v>19</v>
      </c>
      <c r="D148" t="s">
        <v>34</v>
      </c>
      <c r="E148" t="s">
        <v>28</v>
      </c>
      <c r="F148">
        <v>-12.19926473684211</v>
      </c>
      <c r="G148">
        <v>0.99004710455781575</v>
      </c>
      <c r="H148">
        <v>517.48268821093279</v>
      </c>
      <c r="I148">
        <v>0.42413845747632722</v>
      </c>
      <c r="J148">
        <v>0.72492578947368358</v>
      </c>
      <c r="K148">
        <v>27.268238914200651</v>
      </c>
      <c r="L148">
        <v>1638.988243916546</v>
      </c>
      <c r="M148">
        <v>-8.5875466709519396E-3</v>
      </c>
      <c r="N148">
        <v>0.99441864343514286</v>
      </c>
      <c r="O148">
        <v>3455.4172293287879</v>
      </c>
      <c r="P148">
        <v>5.1439520124184783E-2</v>
      </c>
      <c r="Q148">
        <v>0.36963183856877369</v>
      </c>
    </row>
    <row r="149" spans="1:17" x14ac:dyDescent="0.2">
      <c r="A149" t="s">
        <v>49</v>
      </c>
      <c r="B149" t="s">
        <v>18</v>
      </c>
      <c r="C149" t="s">
        <v>19</v>
      </c>
      <c r="D149" t="s">
        <v>34</v>
      </c>
      <c r="E149" t="s">
        <v>29</v>
      </c>
      <c r="F149">
        <v>-16.8279888888889</v>
      </c>
      <c r="G149">
        <v>0.97011218993175197</v>
      </c>
      <c r="H149">
        <v>4.7510688190411594</v>
      </c>
      <c r="I149">
        <v>0.26766896868704959</v>
      </c>
      <c r="J149">
        <v>1.898611111111101</v>
      </c>
      <c r="K149">
        <v>740.15145096109666</v>
      </c>
      <c r="L149">
        <v>1255.1108867724411</v>
      </c>
      <c r="M149">
        <v>-1.548964073156554E-2</v>
      </c>
      <c r="N149">
        <v>0.97660138313303546</v>
      </c>
      <c r="O149">
        <v>1061.2450589235241</v>
      </c>
      <c r="P149">
        <v>4.2610894834639061E-3</v>
      </c>
      <c r="Q149">
        <v>0.26477058473300191</v>
      </c>
    </row>
    <row r="150" spans="1:17" x14ac:dyDescent="0.2">
      <c r="A150" t="s">
        <v>49</v>
      </c>
      <c r="B150" t="s">
        <v>18</v>
      </c>
      <c r="C150" t="s">
        <v>19</v>
      </c>
      <c r="D150" t="s">
        <v>34</v>
      </c>
      <c r="E150" t="s">
        <v>30</v>
      </c>
      <c r="F150">
        <v>-13.049585263157899</v>
      </c>
      <c r="G150">
        <v>0.98852631438197358</v>
      </c>
      <c r="H150">
        <v>357.63921425724311</v>
      </c>
      <c r="I150">
        <v>0.2074099813664658</v>
      </c>
      <c r="J150">
        <v>-0.12539473684210381</v>
      </c>
      <c r="K150">
        <v>-132.57523503948909</v>
      </c>
      <c r="L150">
        <v>1603.403581933733</v>
      </c>
      <c r="M150">
        <v>-9.5461075944150917E-3</v>
      </c>
      <c r="N150">
        <v>0.99421141091493936</v>
      </c>
      <c r="O150">
        <v>5754.8175628461204</v>
      </c>
      <c r="P150">
        <v>2.930740495998602E-2</v>
      </c>
      <c r="Q150">
        <v>0.16313672259569739</v>
      </c>
    </row>
    <row r="151" spans="1:17" x14ac:dyDescent="0.2">
      <c r="A151" t="s">
        <v>50</v>
      </c>
      <c r="B151" t="s">
        <v>32</v>
      </c>
      <c r="C151" t="s">
        <v>19</v>
      </c>
      <c r="D151" t="s">
        <v>34</v>
      </c>
      <c r="E151" t="s">
        <v>21</v>
      </c>
      <c r="F151">
        <v>-17.99916666666666</v>
      </c>
      <c r="G151">
        <v>0.9911563646061986</v>
      </c>
      <c r="H151">
        <v>131.38000262366521</v>
      </c>
      <c r="I151">
        <v>0.29938909007423631</v>
      </c>
      <c r="J151">
        <v>0</v>
      </c>
      <c r="K151">
        <v>0</v>
      </c>
      <c r="L151">
        <v>1881.3497728001371</v>
      </c>
      <c r="M151">
        <v>-1.053855542991834E-2</v>
      </c>
      <c r="N151">
        <v>0.99380020321314211</v>
      </c>
      <c r="O151">
        <v>12853.31486415116</v>
      </c>
      <c r="P151">
        <v>9.496518906726148E-3</v>
      </c>
      <c r="Q151">
        <v>0.3031936052082681</v>
      </c>
    </row>
    <row r="152" spans="1:17" x14ac:dyDescent="0.2">
      <c r="A152" t="s">
        <v>50</v>
      </c>
      <c r="B152" t="s">
        <v>32</v>
      </c>
      <c r="C152" t="s">
        <v>19</v>
      </c>
      <c r="D152" t="s">
        <v>34</v>
      </c>
      <c r="E152" t="s">
        <v>22</v>
      </c>
      <c r="F152">
        <v>-11.853897894736839</v>
      </c>
      <c r="G152">
        <v>0.99610491096902309</v>
      </c>
      <c r="H152">
        <v>-355.90643466024108</v>
      </c>
      <c r="I152">
        <v>0.20613390194149811</v>
      </c>
      <c r="J152">
        <v>0</v>
      </c>
      <c r="K152">
        <v>0</v>
      </c>
      <c r="L152">
        <v>1658.447757009626</v>
      </c>
      <c r="M152">
        <v>-8.1755978080793202E-3</v>
      </c>
      <c r="N152">
        <v>0.99841129086351221</v>
      </c>
      <c r="O152">
        <v>16318.652496858171</v>
      </c>
      <c r="P152">
        <v>-3.5267103354818932E-2</v>
      </c>
      <c r="Q152">
        <v>0.1933249064743886</v>
      </c>
    </row>
    <row r="153" spans="1:17" x14ac:dyDescent="0.2">
      <c r="A153" t="s">
        <v>50</v>
      </c>
      <c r="B153" t="s">
        <v>32</v>
      </c>
      <c r="C153" t="s">
        <v>19</v>
      </c>
      <c r="D153" t="s">
        <v>34</v>
      </c>
      <c r="E153" t="s">
        <v>23</v>
      </c>
      <c r="F153">
        <v>-15.24764444444444</v>
      </c>
      <c r="G153">
        <v>0.97090802493085182</v>
      </c>
      <c r="H153">
        <v>173.47040142973489</v>
      </c>
      <c r="I153">
        <v>0.8930721806079015</v>
      </c>
      <c r="J153">
        <v>2.7515222222222211</v>
      </c>
      <c r="K153">
        <v>42.090398806069693</v>
      </c>
      <c r="L153">
        <v>1680.9092102735781</v>
      </c>
      <c r="M153">
        <v>-9.9591386248672597E-3</v>
      </c>
      <c r="N153">
        <v>0.97527250780745078</v>
      </c>
      <c r="O153">
        <v>11771.09039279601</v>
      </c>
      <c r="P153">
        <v>1.30070396764017E-2</v>
      </c>
      <c r="Q153">
        <v>0.8872555929436865</v>
      </c>
    </row>
    <row r="154" spans="1:17" x14ac:dyDescent="0.2">
      <c r="A154" t="s">
        <v>50</v>
      </c>
      <c r="B154" t="s">
        <v>32</v>
      </c>
      <c r="C154" t="s">
        <v>19</v>
      </c>
      <c r="D154" t="s">
        <v>34</v>
      </c>
      <c r="E154" t="s">
        <v>24</v>
      </c>
      <c r="F154">
        <v>-10.84030894736842</v>
      </c>
      <c r="G154">
        <v>0.97861173458666584</v>
      </c>
      <c r="H154">
        <v>-431.12180522458431</v>
      </c>
      <c r="I154">
        <v>0.71694370814647101</v>
      </c>
      <c r="J154">
        <v>1.0135889473684241</v>
      </c>
      <c r="K154">
        <v>-75.215370564343175</v>
      </c>
      <c r="L154">
        <v>1043.8951024139019</v>
      </c>
      <c r="M154">
        <v>-1.2901331530667821E-2</v>
      </c>
      <c r="N154">
        <v>0.98910696511165475</v>
      </c>
      <c r="O154">
        <v>14216.63204225047</v>
      </c>
      <c r="P154">
        <v>-7.1503111357548249E-2</v>
      </c>
      <c r="Q154">
        <v>0.62291967035105977</v>
      </c>
    </row>
    <row r="155" spans="1:17" x14ac:dyDescent="0.2">
      <c r="A155" t="s">
        <v>50</v>
      </c>
      <c r="B155" t="s">
        <v>32</v>
      </c>
      <c r="C155" t="s">
        <v>19</v>
      </c>
      <c r="D155" t="s">
        <v>34</v>
      </c>
      <c r="E155" t="s">
        <v>25</v>
      </c>
      <c r="F155">
        <v>-14.486866666666669</v>
      </c>
      <c r="G155">
        <v>0.99675866711549366</v>
      </c>
      <c r="H155">
        <v>61.305901139094928</v>
      </c>
      <c r="I155">
        <v>0.78656861750256546</v>
      </c>
      <c r="J155">
        <v>3.5122999999999909</v>
      </c>
      <c r="K155">
        <v>-70.074101484570278</v>
      </c>
      <c r="L155">
        <v>1106.579518773465</v>
      </c>
      <c r="M155">
        <v>-1.497603138366157E-2</v>
      </c>
      <c r="N155">
        <v>0.99808878281581148</v>
      </c>
      <c r="O155">
        <v>7846.4571756353716</v>
      </c>
      <c r="P155">
        <v>7.2914743966072514E-3</v>
      </c>
      <c r="Q155">
        <v>0.78413929385471526</v>
      </c>
    </row>
    <row r="156" spans="1:17" x14ac:dyDescent="0.2">
      <c r="A156" t="s">
        <v>50</v>
      </c>
      <c r="B156" t="s">
        <v>32</v>
      </c>
      <c r="C156" t="s">
        <v>19</v>
      </c>
      <c r="D156" t="s">
        <v>34</v>
      </c>
      <c r="E156" t="s">
        <v>26</v>
      </c>
      <c r="F156">
        <v>-10.68255368421053</v>
      </c>
      <c r="G156">
        <v>0.98078944792945255</v>
      </c>
      <c r="H156">
        <v>-352.52698782810103</v>
      </c>
      <c r="I156">
        <v>0.63065974688746096</v>
      </c>
      <c r="J156">
        <v>1.1713442105263181</v>
      </c>
      <c r="K156">
        <v>3.3794468321401041</v>
      </c>
      <c r="L156">
        <v>1022.792272270588</v>
      </c>
      <c r="M156">
        <v>-1.294673167538647E-2</v>
      </c>
      <c r="N156">
        <v>0.98827853955299172</v>
      </c>
      <c r="O156">
        <v>15498.858787664991</v>
      </c>
      <c r="P156">
        <v>-0.121712552871151</v>
      </c>
      <c r="Q156">
        <v>0.7497203342350367</v>
      </c>
    </row>
    <row r="157" spans="1:17" x14ac:dyDescent="0.2">
      <c r="A157" t="s">
        <v>50</v>
      </c>
      <c r="B157" t="s">
        <v>32</v>
      </c>
      <c r="C157" t="s">
        <v>19</v>
      </c>
      <c r="D157" t="s">
        <v>34</v>
      </c>
      <c r="E157" t="s">
        <v>27</v>
      </c>
      <c r="F157">
        <v>-17.80005555555557</v>
      </c>
      <c r="G157">
        <v>0.97563728561840768</v>
      </c>
      <c r="H157">
        <v>-531.27147768629595</v>
      </c>
      <c r="I157">
        <v>0.44611109615199379</v>
      </c>
      <c r="J157">
        <v>0.1991111111110975</v>
      </c>
      <c r="K157">
        <v>-662.65148030996113</v>
      </c>
      <c r="L157">
        <v>1169.019681180625</v>
      </c>
      <c r="M157">
        <v>-1.79838887398183E-2</v>
      </c>
      <c r="N157">
        <v>0.982394901203127</v>
      </c>
      <c r="O157">
        <v>11541.24143550539</v>
      </c>
      <c r="P157">
        <v>-6.4451464046261675E-2</v>
      </c>
      <c r="Q157">
        <v>0.35894069869564138</v>
      </c>
    </row>
    <row r="158" spans="1:17" x14ac:dyDescent="0.2">
      <c r="A158" t="s">
        <v>50</v>
      </c>
      <c r="B158" t="s">
        <v>32</v>
      </c>
      <c r="C158" t="s">
        <v>19</v>
      </c>
      <c r="D158" t="s">
        <v>34</v>
      </c>
      <c r="E158" t="s">
        <v>28</v>
      </c>
      <c r="F158">
        <v>-8.9741768421052655</v>
      </c>
      <c r="G158">
        <v>0.99498504821356426</v>
      </c>
      <c r="H158">
        <v>-396.34020922268371</v>
      </c>
      <c r="I158">
        <v>0.70546846507423377</v>
      </c>
      <c r="J158">
        <v>2.8797210526315768</v>
      </c>
      <c r="K158">
        <v>-40.433774562442579</v>
      </c>
      <c r="L158">
        <v>981.28121300298312</v>
      </c>
      <c r="M158">
        <v>-1.093802801660591E-2</v>
      </c>
      <c r="N158">
        <v>0.99829062129610346</v>
      </c>
      <c r="O158">
        <v>14320.54192875101</v>
      </c>
      <c r="P158">
        <v>-9.0239196473988023E-2</v>
      </c>
      <c r="Q158">
        <v>0.69308829943141115</v>
      </c>
    </row>
    <row r="159" spans="1:17" x14ac:dyDescent="0.2">
      <c r="A159" t="s">
        <v>50</v>
      </c>
      <c r="B159" t="s">
        <v>32</v>
      </c>
      <c r="C159" t="s">
        <v>19</v>
      </c>
      <c r="D159" t="s">
        <v>34</v>
      </c>
      <c r="E159" t="s">
        <v>29</v>
      </c>
      <c r="F159">
        <v>-10.82202222222223</v>
      </c>
      <c r="G159">
        <v>0.98997417974901547</v>
      </c>
      <c r="H159">
        <v>-961.45477850605312</v>
      </c>
      <c r="I159">
        <v>0.74192037772708053</v>
      </c>
      <c r="J159">
        <v>7.1771444444444326</v>
      </c>
      <c r="K159">
        <v>-1092.8347811297181</v>
      </c>
      <c r="L159">
        <v>794.53619302262598</v>
      </c>
      <c r="M159">
        <v>-1.5725006018465892E-2</v>
      </c>
      <c r="N159">
        <v>0.99389358043219089</v>
      </c>
      <c r="O159">
        <v>19644.139982721412</v>
      </c>
      <c r="P159">
        <v>-0.18164241496451791</v>
      </c>
      <c r="Q159">
        <v>0.68674123761342787</v>
      </c>
    </row>
    <row r="160" spans="1:17" x14ac:dyDescent="0.2">
      <c r="A160" t="s">
        <v>50</v>
      </c>
      <c r="B160" t="s">
        <v>32</v>
      </c>
      <c r="C160" t="s">
        <v>19</v>
      </c>
      <c r="D160" t="s">
        <v>34</v>
      </c>
      <c r="E160" t="s">
        <v>30</v>
      </c>
      <c r="F160">
        <v>-11.09428105263158</v>
      </c>
      <c r="G160">
        <v>0.98860278551100078</v>
      </c>
      <c r="H160">
        <v>33.853283611604432</v>
      </c>
      <c r="I160">
        <v>0.2330200135289883</v>
      </c>
      <c r="J160">
        <v>0.75961684210526137</v>
      </c>
      <c r="K160">
        <v>389.75971827184549</v>
      </c>
      <c r="L160">
        <v>1256.7922589061809</v>
      </c>
      <c r="M160">
        <v>-1.050766049859748E-2</v>
      </c>
      <c r="N160">
        <v>0.99385292148064031</v>
      </c>
      <c r="O160">
        <v>536.87757707746732</v>
      </c>
      <c r="P160">
        <v>3.5277477295803189E-2</v>
      </c>
      <c r="Q160">
        <v>0.24450583465927589</v>
      </c>
    </row>
    <row r="161" spans="1:17" x14ac:dyDescent="0.2">
      <c r="A161" t="s">
        <v>51</v>
      </c>
      <c r="B161" t="s">
        <v>18</v>
      </c>
      <c r="C161" t="s">
        <v>19</v>
      </c>
      <c r="D161" t="s">
        <v>20</v>
      </c>
      <c r="E161" t="s">
        <v>21</v>
      </c>
      <c r="F161">
        <v>-21.021000000000001</v>
      </c>
      <c r="G161">
        <v>0.97859784869049826</v>
      </c>
      <c r="H161">
        <v>47.826495747992631</v>
      </c>
      <c r="I161">
        <v>0.68772040387742717</v>
      </c>
      <c r="J161">
        <v>0</v>
      </c>
      <c r="K161">
        <v>0</v>
      </c>
      <c r="L161">
        <v>2014.186442760192</v>
      </c>
      <c r="M161">
        <v>-1.1634758777967521E-2</v>
      </c>
      <c r="N161">
        <v>0.98345955481672354</v>
      </c>
      <c r="O161">
        <v>11274.208868978119</v>
      </c>
      <c r="P161">
        <v>4.0830004572820801E-3</v>
      </c>
      <c r="Q161">
        <v>0.68679150736741001</v>
      </c>
    </row>
    <row r="162" spans="1:17" x14ac:dyDescent="0.2">
      <c r="A162" t="s">
        <v>51</v>
      </c>
      <c r="B162" t="s">
        <v>18</v>
      </c>
      <c r="C162" t="s">
        <v>19</v>
      </c>
      <c r="D162" t="s">
        <v>20</v>
      </c>
      <c r="E162" t="s">
        <v>22</v>
      </c>
      <c r="F162">
        <v>-12.957963684210529</v>
      </c>
      <c r="G162">
        <v>0.98050888930081725</v>
      </c>
      <c r="H162">
        <v>-344.31812036496382</v>
      </c>
      <c r="I162">
        <v>0.29226108875515511</v>
      </c>
      <c r="J162">
        <v>0</v>
      </c>
      <c r="K162">
        <v>0</v>
      </c>
      <c r="L162">
        <v>1875.4478710980609</v>
      </c>
      <c r="M162">
        <v>-7.8957231024202462E-3</v>
      </c>
      <c r="N162">
        <v>0.98622628361884079</v>
      </c>
      <c r="O162">
        <v>15666.36717393807</v>
      </c>
      <c r="P162">
        <v>-3.8399559425229123E-2</v>
      </c>
      <c r="Q162">
        <v>0.28836236494224349</v>
      </c>
    </row>
    <row r="163" spans="1:17" x14ac:dyDescent="0.2">
      <c r="A163" t="s">
        <v>51</v>
      </c>
      <c r="B163" t="s">
        <v>18</v>
      </c>
      <c r="C163" t="s">
        <v>19</v>
      </c>
      <c r="D163" t="s">
        <v>20</v>
      </c>
      <c r="E163" t="s">
        <v>23</v>
      </c>
      <c r="F163">
        <v>-25.47036666666666</v>
      </c>
      <c r="G163">
        <v>0.96617287664828644</v>
      </c>
      <c r="H163">
        <v>105.27457639781611</v>
      </c>
      <c r="I163">
        <v>0.93856920533201027</v>
      </c>
      <c r="J163">
        <v>-4.4493666666666662</v>
      </c>
      <c r="K163">
        <v>57.448080649823467</v>
      </c>
      <c r="L163">
        <v>2093.5037290388168</v>
      </c>
      <c r="M163">
        <v>-1.385711459873167E-2</v>
      </c>
      <c r="N163">
        <v>0.97275287972561497</v>
      </c>
      <c r="O163">
        <v>10612.77657914721</v>
      </c>
      <c r="P163">
        <v>9.1084422941913202E-3</v>
      </c>
      <c r="Q163">
        <v>0.93600941321798237</v>
      </c>
    </row>
    <row r="164" spans="1:17" x14ac:dyDescent="0.2">
      <c r="A164" t="s">
        <v>51</v>
      </c>
      <c r="B164" t="s">
        <v>18</v>
      </c>
      <c r="C164" t="s">
        <v>19</v>
      </c>
      <c r="D164" t="s">
        <v>20</v>
      </c>
      <c r="E164" t="s">
        <v>24</v>
      </c>
      <c r="F164">
        <v>-13.023041578947369</v>
      </c>
      <c r="G164">
        <v>0.98514401260833639</v>
      </c>
      <c r="H164">
        <v>-24.833472298269051</v>
      </c>
      <c r="I164">
        <v>5.6780823287185811E-3</v>
      </c>
      <c r="J164">
        <v>-6.5077894736838005E-2</v>
      </c>
      <c r="K164">
        <v>319.48464806669472</v>
      </c>
      <c r="L164">
        <v>1844.110665115807</v>
      </c>
      <c r="M164">
        <v>-8.0928273907989352E-3</v>
      </c>
      <c r="N164">
        <v>0.99057000023831965</v>
      </c>
      <c r="O164">
        <v>12587.126887698871</v>
      </c>
      <c r="P164">
        <v>-1.9525724273302379E-3</v>
      </c>
      <c r="Q164">
        <v>5.4429600999017502E-3</v>
      </c>
    </row>
    <row r="165" spans="1:17" x14ac:dyDescent="0.2">
      <c r="A165" t="s">
        <v>51</v>
      </c>
      <c r="B165" t="s">
        <v>18</v>
      </c>
      <c r="C165" t="s">
        <v>19</v>
      </c>
      <c r="D165" t="s">
        <v>20</v>
      </c>
      <c r="E165" t="s">
        <v>25</v>
      </c>
      <c r="F165">
        <v>-24.494366666666679</v>
      </c>
      <c r="G165">
        <v>0.96121629396543029</v>
      </c>
      <c r="H165">
        <v>-312.32719800125437</v>
      </c>
      <c r="I165">
        <v>0.1142754264184143</v>
      </c>
      <c r="J165">
        <v>-3.4733666666666809</v>
      </c>
      <c r="K165">
        <v>-360.15369374924711</v>
      </c>
      <c r="L165">
        <v>2027.0278555766561</v>
      </c>
      <c r="M165">
        <v>-1.375765525884565E-2</v>
      </c>
      <c r="N165">
        <v>0.96822074477550857</v>
      </c>
      <c r="O165">
        <v>13815.88339320116</v>
      </c>
      <c r="P165">
        <v>-2.7157345640481851E-2</v>
      </c>
      <c r="Q165">
        <v>0.1081857786121079</v>
      </c>
    </row>
    <row r="166" spans="1:17" x14ac:dyDescent="0.2">
      <c r="A166" t="s">
        <v>51</v>
      </c>
      <c r="B166" t="s">
        <v>18</v>
      </c>
      <c r="C166" t="s">
        <v>19</v>
      </c>
      <c r="D166" t="s">
        <v>20</v>
      </c>
      <c r="E166" t="s">
        <v>26</v>
      </c>
      <c r="F166">
        <v>-12.086455789473691</v>
      </c>
      <c r="G166">
        <v>0.98868411467410999</v>
      </c>
      <c r="H166">
        <v>-390.54966491761331</v>
      </c>
      <c r="I166">
        <v>0.3666093417405103</v>
      </c>
      <c r="J166">
        <v>0.8715078947368422</v>
      </c>
      <c r="K166">
        <v>-46.231544552649552</v>
      </c>
      <c r="L166">
        <v>1838.4506217571909</v>
      </c>
      <c r="M166">
        <v>-7.4426049267282534E-3</v>
      </c>
      <c r="N166">
        <v>0.9922873667970179</v>
      </c>
      <c r="O166">
        <v>16691.798063733549</v>
      </c>
      <c r="P166">
        <v>-3.2574494968611922E-2</v>
      </c>
      <c r="Q166">
        <v>0.30886691963509078</v>
      </c>
    </row>
    <row r="167" spans="1:17" x14ac:dyDescent="0.2">
      <c r="A167" t="s">
        <v>51</v>
      </c>
      <c r="B167" t="s">
        <v>18</v>
      </c>
      <c r="C167" t="s">
        <v>19</v>
      </c>
      <c r="D167" t="s">
        <v>20</v>
      </c>
      <c r="E167" t="s">
        <v>27</v>
      </c>
      <c r="F167">
        <v>-22.158899999999999</v>
      </c>
      <c r="G167">
        <v>0.9629221539298044</v>
      </c>
      <c r="H167">
        <v>101.0552022320696</v>
      </c>
      <c r="I167">
        <v>0.81437823408584009</v>
      </c>
      <c r="J167">
        <v>-1.137900000000005</v>
      </c>
      <c r="K167">
        <v>53.22870648407693</v>
      </c>
      <c r="L167">
        <v>1947.5078021012951</v>
      </c>
      <c r="M167">
        <v>-1.2842966047354871E-2</v>
      </c>
      <c r="N167">
        <v>0.96939864892333549</v>
      </c>
      <c r="O167">
        <v>11521.027378889979</v>
      </c>
      <c r="P167">
        <v>8.1102277822757435E-3</v>
      </c>
      <c r="Q167">
        <v>0.8104020791265143</v>
      </c>
    </row>
    <row r="168" spans="1:17" x14ac:dyDescent="0.2">
      <c r="A168" t="s">
        <v>51</v>
      </c>
      <c r="B168" t="s">
        <v>18</v>
      </c>
      <c r="C168" t="s">
        <v>19</v>
      </c>
      <c r="D168" t="s">
        <v>20</v>
      </c>
      <c r="E168" t="s">
        <v>28</v>
      </c>
      <c r="F168">
        <v>-12.09551263157895</v>
      </c>
      <c r="G168">
        <v>0.97779244618322481</v>
      </c>
      <c r="H168">
        <v>-475.07106301114032</v>
      </c>
      <c r="I168">
        <v>0.43284229014976161</v>
      </c>
      <c r="J168">
        <v>0.86245105263158095</v>
      </c>
      <c r="K168">
        <v>-130.75294264617659</v>
      </c>
      <c r="L168">
        <v>1735.5472837502759</v>
      </c>
      <c r="M168">
        <v>-7.9858394452019966E-3</v>
      </c>
      <c r="N168">
        <v>0.98474699686717515</v>
      </c>
      <c r="O168">
        <v>18153.612983565319</v>
      </c>
      <c r="P168">
        <v>-5.5589662176557461E-2</v>
      </c>
      <c r="Q168">
        <v>0.41179220189289162</v>
      </c>
    </row>
    <row r="169" spans="1:17" x14ac:dyDescent="0.2">
      <c r="A169" t="s">
        <v>51</v>
      </c>
      <c r="B169" t="s">
        <v>18</v>
      </c>
      <c r="C169" t="s">
        <v>19</v>
      </c>
      <c r="D169" t="s">
        <v>20</v>
      </c>
      <c r="E169" t="s">
        <v>29</v>
      </c>
      <c r="F169">
        <v>-19.588300000000011</v>
      </c>
      <c r="G169">
        <v>0.95460733777044149</v>
      </c>
      <c r="H169">
        <v>-489.57515204237973</v>
      </c>
      <c r="I169">
        <v>0.2131475190196164</v>
      </c>
      <c r="J169">
        <v>1.4326999999999901</v>
      </c>
      <c r="K169">
        <v>-537.40164779037241</v>
      </c>
      <c r="L169">
        <v>1481.7374446697511</v>
      </c>
      <c r="M169">
        <v>-1.527960752231638E-2</v>
      </c>
      <c r="N169">
        <v>0.96319067790171453</v>
      </c>
      <c r="O169">
        <v>16423.322304326612</v>
      </c>
      <c r="P169">
        <v>-3.426717278450378E-2</v>
      </c>
      <c r="Q169">
        <v>0.18108798264080131</v>
      </c>
    </row>
    <row r="170" spans="1:17" x14ac:dyDescent="0.2">
      <c r="A170" t="s">
        <v>51</v>
      </c>
      <c r="B170" t="s">
        <v>18</v>
      </c>
      <c r="C170" t="s">
        <v>19</v>
      </c>
      <c r="D170" t="s">
        <v>20</v>
      </c>
      <c r="E170" t="s">
        <v>30</v>
      </c>
      <c r="F170">
        <v>-11.68303473684211</v>
      </c>
      <c r="G170">
        <v>0.9795501995823912</v>
      </c>
      <c r="H170">
        <v>-417.10495654070792</v>
      </c>
      <c r="I170">
        <v>0.4024835144732446</v>
      </c>
      <c r="J170">
        <v>1.2749289473684211</v>
      </c>
      <c r="K170">
        <v>-72.786836175744099</v>
      </c>
      <c r="L170">
        <v>1730.122614929079</v>
      </c>
      <c r="M170">
        <v>-7.6958815727187361E-3</v>
      </c>
      <c r="N170">
        <v>0.98571427286731805</v>
      </c>
      <c r="O170">
        <v>17115.461634146479</v>
      </c>
      <c r="P170">
        <v>-3.4275062521222033E-2</v>
      </c>
      <c r="Q170">
        <v>0.3339100013647871</v>
      </c>
    </row>
    <row r="171" spans="1:17" x14ac:dyDescent="0.2">
      <c r="A171" t="s">
        <v>52</v>
      </c>
      <c r="B171" t="s">
        <v>32</v>
      </c>
      <c r="C171" t="s">
        <v>33</v>
      </c>
      <c r="D171" t="s">
        <v>34</v>
      </c>
      <c r="E171" t="s">
        <v>21</v>
      </c>
      <c r="F171">
        <v>-3.1992444444444459</v>
      </c>
      <c r="G171">
        <v>0.97735199254405336</v>
      </c>
      <c r="H171">
        <v>-6.7493073289313479</v>
      </c>
      <c r="I171">
        <v>4.7293079081602518E-2</v>
      </c>
      <c r="J171">
        <v>0</v>
      </c>
      <c r="K171">
        <v>0</v>
      </c>
      <c r="L171">
        <v>201.1315193929608</v>
      </c>
      <c r="M171">
        <v>-1.8924846251276571E-2</v>
      </c>
      <c r="N171">
        <v>0.98325847927615029</v>
      </c>
      <c r="O171">
        <v>397.53086859558982</v>
      </c>
      <c r="P171">
        <v>-2.0062918737534019E-2</v>
      </c>
      <c r="Q171">
        <v>4.6698671392061297E-2</v>
      </c>
    </row>
    <row r="172" spans="1:17" x14ac:dyDescent="0.2">
      <c r="A172" t="s">
        <v>52</v>
      </c>
      <c r="B172" t="s">
        <v>32</v>
      </c>
      <c r="C172" t="s">
        <v>33</v>
      </c>
      <c r="D172" t="s">
        <v>34</v>
      </c>
      <c r="E172" t="s">
        <v>22</v>
      </c>
      <c r="F172">
        <v>-2.1779515789473689</v>
      </c>
      <c r="G172">
        <v>0.98301891674166164</v>
      </c>
      <c r="H172">
        <v>-0.81963934253658322</v>
      </c>
      <c r="I172">
        <v>4.0393307123655084E-3</v>
      </c>
      <c r="J172">
        <v>0</v>
      </c>
      <c r="K172">
        <v>0</v>
      </c>
      <c r="L172">
        <v>189.69645373880721</v>
      </c>
      <c r="M172">
        <v>-1.4595440173483781E-2</v>
      </c>
      <c r="N172">
        <v>0.99031535959587491</v>
      </c>
      <c r="O172">
        <v>366.80434792721269</v>
      </c>
      <c r="P172">
        <v>-2.5157337054888739E-3</v>
      </c>
      <c r="Q172">
        <v>4.3650773008359067E-3</v>
      </c>
    </row>
    <row r="173" spans="1:17" x14ac:dyDescent="0.2">
      <c r="A173" t="s">
        <v>52</v>
      </c>
      <c r="B173" t="s">
        <v>32</v>
      </c>
      <c r="C173" t="s">
        <v>33</v>
      </c>
      <c r="D173" t="s">
        <v>34</v>
      </c>
      <c r="E173" t="s">
        <v>23</v>
      </c>
      <c r="F173">
        <v>-3.4003444444444479</v>
      </c>
      <c r="G173">
        <v>0.94432216875760344</v>
      </c>
      <c r="H173">
        <v>-14.593405825231249</v>
      </c>
      <c r="I173">
        <v>0.31389964075765131</v>
      </c>
      <c r="J173">
        <v>-0.20110000000000211</v>
      </c>
      <c r="K173">
        <v>-7.8440984962998996</v>
      </c>
      <c r="L173">
        <v>179.97854573719329</v>
      </c>
      <c r="M173">
        <v>-2.3597722015488862E-2</v>
      </c>
      <c r="N173">
        <v>0.95758694432037916</v>
      </c>
      <c r="O173">
        <v>480.50105907271688</v>
      </c>
      <c r="P173">
        <v>-3.8533676004928907E-2</v>
      </c>
      <c r="Q173">
        <v>0.28473150826017579</v>
      </c>
    </row>
    <row r="174" spans="1:17" x14ac:dyDescent="0.2">
      <c r="A174" t="s">
        <v>52</v>
      </c>
      <c r="B174" t="s">
        <v>32</v>
      </c>
      <c r="C174" t="s">
        <v>33</v>
      </c>
      <c r="D174" t="s">
        <v>34</v>
      </c>
      <c r="E174" t="s">
        <v>24</v>
      </c>
      <c r="F174">
        <v>-2.0765847368421051</v>
      </c>
      <c r="G174">
        <v>0.97080088920337182</v>
      </c>
      <c r="H174">
        <v>-4.6147684744390549</v>
      </c>
      <c r="I174">
        <v>8.9472394413838918E-2</v>
      </c>
      <c r="J174">
        <v>0.1013668421052643</v>
      </c>
      <c r="K174">
        <v>-3.7951291319024718</v>
      </c>
      <c r="L174">
        <v>181.2875268931991</v>
      </c>
      <c r="M174">
        <v>-1.467231028244404E-2</v>
      </c>
      <c r="N174">
        <v>0.98418243429130914</v>
      </c>
      <c r="O174">
        <v>430.69611584259383</v>
      </c>
      <c r="P174">
        <v>-1.344670581580917E-2</v>
      </c>
      <c r="Q174">
        <v>9.0637922199334642E-2</v>
      </c>
    </row>
    <row r="175" spans="1:17" x14ac:dyDescent="0.2">
      <c r="A175" t="s">
        <v>52</v>
      </c>
      <c r="B175" t="s">
        <v>32</v>
      </c>
      <c r="C175" t="s">
        <v>33</v>
      </c>
      <c r="D175" t="s">
        <v>34</v>
      </c>
      <c r="E175" t="s">
        <v>25</v>
      </c>
      <c r="F175">
        <v>-3.308822222222219</v>
      </c>
      <c r="G175">
        <v>0.91802292309923461</v>
      </c>
      <c r="H175">
        <v>12.59017412483019</v>
      </c>
      <c r="I175">
        <v>0.31208860931278259</v>
      </c>
      <c r="J175">
        <v>-0.10957777777777269</v>
      </c>
      <c r="K175">
        <v>19.33948145376154</v>
      </c>
      <c r="L175">
        <v>177.2556773805594</v>
      </c>
      <c r="M175">
        <v>-2.330707616904551E-2</v>
      </c>
      <c r="N175">
        <v>0.93289697438931185</v>
      </c>
      <c r="O175">
        <v>250.5496457884469</v>
      </c>
      <c r="P175">
        <v>3.5901195785183221E-2</v>
      </c>
      <c r="Q175">
        <v>0.3109478481923984</v>
      </c>
    </row>
    <row r="176" spans="1:17" x14ac:dyDescent="0.2">
      <c r="A176" t="s">
        <v>52</v>
      </c>
      <c r="B176" t="s">
        <v>32</v>
      </c>
      <c r="C176" t="s">
        <v>33</v>
      </c>
      <c r="D176" t="s">
        <v>34</v>
      </c>
      <c r="E176" t="s">
        <v>26</v>
      </c>
      <c r="F176">
        <v>-2.0280015789473689</v>
      </c>
      <c r="G176">
        <v>0.97997755042002721</v>
      </c>
      <c r="H176">
        <v>-8.727518309308083</v>
      </c>
      <c r="I176">
        <v>0.31559322539484991</v>
      </c>
      <c r="J176">
        <v>0.14994999999999961</v>
      </c>
      <c r="K176">
        <v>-7.9078789667714986</v>
      </c>
      <c r="L176">
        <v>182.57370095621661</v>
      </c>
      <c r="M176">
        <v>-1.4030815246117561E-2</v>
      </c>
      <c r="N176">
        <v>0.98955539821903582</v>
      </c>
      <c r="O176">
        <v>491.70512409919019</v>
      </c>
      <c r="P176">
        <v>-2.4047741413252999E-2</v>
      </c>
      <c r="Q176">
        <v>0.29433792384538082</v>
      </c>
    </row>
    <row r="177" spans="1:17" x14ac:dyDescent="0.2">
      <c r="A177" t="s">
        <v>52</v>
      </c>
      <c r="B177" t="s">
        <v>32</v>
      </c>
      <c r="C177" t="s">
        <v>33</v>
      </c>
      <c r="D177" t="s">
        <v>34</v>
      </c>
      <c r="E177" t="s">
        <v>27</v>
      </c>
      <c r="F177">
        <v>-3.332933333333338</v>
      </c>
      <c r="G177">
        <v>0.96983672008381283</v>
      </c>
      <c r="H177">
        <v>-4.5526047740390316</v>
      </c>
      <c r="I177">
        <v>0.98907778552563641</v>
      </c>
      <c r="J177">
        <v>-0.13368888888889249</v>
      </c>
      <c r="K177">
        <v>2.1967025548923158</v>
      </c>
      <c r="L177">
        <v>178.52798819300679</v>
      </c>
      <c r="M177">
        <v>-2.3081122607029391E-2</v>
      </c>
      <c r="N177">
        <v>0.97785341426499284</v>
      </c>
      <c r="O177">
        <v>321.69427180251762</v>
      </c>
      <c r="P177">
        <v>-1.6455665225283349E-2</v>
      </c>
      <c r="Q177">
        <v>0.99373214507014807</v>
      </c>
    </row>
    <row r="178" spans="1:17" x14ac:dyDescent="0.2">
      <c r="A178" t="s">
        <v>52</v>
      </c>
      <c r="B178" t="s">
        <v>32</v>
      </c>
      <c r="C178" t="s">
        <v>33</v>
      </c>
      <c r="D178" t="s">
        <v>34</v>
      </c>
      <c r="E178" t="s">
        <v>28</v>
      </c>
      <c r="F178">
        <v>-2.0130142105263151</v>
      </c>
      <c r="G178">
        <v>0.97619498969939755</v>
      </c>
      <c r="H178">
        <v>-1.6414232949405529</v>
      </c>
      <c r="I178">
        <v>1.312584833959507E-2</v>
      </c>
      <c r="J178">
        <v>0.16493736842105419</v>
      </c>
      <c r="K178">
        <v>-0.82178395240396995</v>
      </c>
      <c r="L178">
        <v>182.67525906038381</v>
      </c>
      <c r="M178">
        <v>-1.388472800376998E-2</v>
      </c>
      <c r="N178">
        <v>0.98542205536296612</v>
      </c>
      <c r="O178">
        <v>394.86456201443389</v>
      </c>
      <c r="P178">
        <v>-5.0281354299731244E-3</v>
      </c>
      <c r="Q178">
        <v>1.4628475944708169E-2</v>
      </c>
    </row>
    <row r="179" spans="1:17" x14ac:dyDescent="0.2">
      <c r="A179" t="s">
        <v>52</v>
      </c>
      <c r="B179" t="s">
        <v>32</v>
      </c>
      <c r="C179" t="s">
        <v>33</v>
      </c>
      <c r="D179" t="s">
        <v>34</v>
      </c>
      <c r="E179" t="s">
        <v>29</v>
      </c>
      <c r="F179">
        <v>-3.0808111111111121</v>
      </c>
      <c r="G179">
        <v>0.90798747960070691</v>
      </c>
      <c r="H179">
        <v>-9.3434720683501649</v>
      </c>
      <c r="I179">
        <v>0.58623184603936851</v>
      </c>
      <c r="J179">
        <v>0.11843333333333431</v>
      </c>
      <c r="K179">
        <v>-2.594164739418817</v>
      </c>
      <c r="L179">
        <v>160.37764676669059</v>
      </c>
      <c r="M179">
        <v>-2.4343693528933692E-2</v>
      </c>
      <c r="N179">
        <v>0.92820001579764688</v>
      </c>
      <c r="O179">
        <v>333.24297605318299</v>
      </c>
      <c r="P179">
        <v>-3.562391652792838E-2</v>
      </c>
      <c r="Q179">
        <v>0.54493812051700674</v>
      </c>
    </row>
    <row r="180" spans="1:17" x14ac:dyDescent="0.2">
      <c r="A180" t="s">
        <v>52</v>
      </c>
      <c r="B180" t="s">
        <v>32</v>
      </c>
      <c r="C180" t="s">
        <v>33</v>
      </c>
      <c r="D180" t="s">
        <v>34</v>
      </c>
      <c r="E180" t="s">
        <v>30</v>
      </c>
      <c r="F180">
        <v>-1.8585152631578929</v>
      </c>
      <c r="G180">
        <v>0.96566681979297253</v>
      </c>
      <c r="H180">
        <v>0.89154433140407618</v>
      </c>
      <c r="I180">
        <v>8.3104036940784276E-3</v>
      </c>
      <c r="J180">
        <v>0.31943631578947568</v>
      </c>
      <c r="K180">
        <v>1.711183673940659</v>
      </c>
      <c r="L180">
        <v>182.4941890529698</v>
      </c>
      <c r="M180">
        <v>-1.261840761075305E-2</v>
      </c>
      <c r="N180">
        <v>0.97766699098618726</v>
      </c>
      <c r="O180">
        <v>353.94284948786782</v>
      </c>
      <c r="P180">
        <v>2.4451260135017528E-3</v>
      </c>
      <c r="Q180">
        <v>8.3993389852662359E-3</v>
      </c>
    </row>
    <row r="181" spans="1:17" x14ac:dyDescent="0.2">
      <c r="A181" t="s">
        <v>53</v>
      </c>
      <c r="B181" t="s">
        <v>32</v>
      </c>
      <c r="C181" t="s">
        <v>33</v>
      </c>
      <c r="D181" t="s">
        <v>34</v>
      </c>
      <c r="E181" t="s">
        <v>21</v>
      </c>
      <c r="F181">
        <v>-2.4498555555555561</v>
      </c>
      <c r="G181">
        <v>0.94531579351225425</v>
      </c>
      <c r="H181">
        <v>-8.1907639620213075</v>
      </c>
      <c r="I181">
        <v>7.2674824628460644E-2</v>
      </c>
      <c r="J181">
        <v>0</v>
      </c>
      <c r="K181">
        <v>0</v>
      </c>
      <c r="L181">
        <v>136.12354352805181</v>
      </c>
      <c r="M181">
        <v>-2.2216053288800761E-2</v>
      </c>
      <c r="N181">
        <v>0.9589053973689261</v>
      </c>
      <c r="O181">
        <v>351.16527859988048</v>
      </c>
      <c r="P181">
        <v>-3.0423566245731601E-2</v>
      </c>
      <c r="Q181">
        <v>7.2528414839387212E-2</v>
      </c>
    </row>
    <row r="182" spans="1:17" x14ac:dyDescent="0.2">
      <c r="A182" t="s">
        <v>53</v>
      </c>
      <c r="B182" t="s">
        <v>32</v>
      </c>
      <c r="C182" t="s">
        <v>33</v>
      </c>
      <c r="D182" t="s">
        <v>34</v>
      </c>
      <c r="E182" t="s">
        <v>22</v>
      </c>
      <c r="F182">
        <v>-1.347986842105263</v>
      </c>
      <c r="G182">
        <v>0.96062669369798837</v>
      </c>
      <c r="H182">
        <v>-9.7847937011262829</v>
      </c>
      <c r="I182">
        <v>0.40232727595125778</v>
      </c>
      <c r="J182">
        <v>0</v>
      </c>
      <c r="K182">
        <v>0</v>
      </c>
      <c r="L182">
        <v>122.9457149807146</v>
      </c>
      <c r="M182">
        <v>-1.385111308860669E-2</v>
      </c>
      <c r="N182">
        <v>0.97278988480375594</v>
      </c>
      <c r="O182">
        <v>460.33531713980511</v>
      </c>
      <c r="P182">
        <v>-4.3005483847097167E-2</v>
      </c>
      <c r="Q182">
        <v>0.42492178053862018</v>
      </c>
    </row>
    <row r="183" spans="1:17" x14ac:dyDescent="0.2">
      <c r="A183" t="s">
        <v>53</v>
      </c>
      <c r="B183" t="s">
        <v>32</v>
      </c>
      <c r="C183" t="s">
        <v>33</v>
      </c>
      <c r="D183" t="s">
        <v>34</v>
      </c>
      <c r="E183" t="s">
        <v>23</v>
      </c>
      <c r="F183">
        <v>-3.642255555555562</v>
      </c>
      <c r="G183">
        <v>0.9385670042158778</v>
      </c>
      <c r="H183">
        <v>-23.501556625124021</v>
      </c>
      <c r="I183">
        <v>0.53126539802882233</v>
      </c>
      <c r="J183">
        <v>-1.1924000000000059</v>
      </c>
      <c r="K183">
        <v>-15.31079266310271</v>
      </c>
      <c r="L183">
        <v>171.34160404886211</v>
      </c>
      <c r="M183">
        <v>-2.7628015363376311E-2</v>
      </c>
      <c r="N183">
        <v>0.95651824284958031</v>
      </c>
      <c r="O183">
        <v>623.26415279642856</v>
      </c>
      <c r="P183">
        <v>-8.0104724049035514E-2</v>
      </c>
      <c r="Q183">
        <v>0.57184968920234081</v>
      </c>
    </row>
    <row r="184" spans="1:17" x14ac:dyDescent="0.2">
      <c r="A184" t="s">
        <v>53</v>
      </c>
      <c r="B184" t="s">
        <v>32</v>
      </c>
      <c r="C184" t="s">
        <v>33</v>
      </c>
      <c r="D184" t="s">
        <v>34</v>
      </c>
      <c r="E184" t="s">
        <v>24</v>
      </c>
      <c r="F184">
        <v>-1.3960263157894739</v>
      </c>
      <c r="G184">
        <v>0.95279320432089198</v>
      </c>
      <c r="H184">
        <v>-8.7038469275787307</v>
      </c>
      <c r="I184">
        <v>0.69445733929179565</v>
      </c>
      <c r="J184">
        <v>-4.8039473684210243E-2</v>
      </c>
      <c r="K184">
        <v>1.080946773547552</v>
      </c>
      <c r="L184">
        <v>120.1475927436436</v>
      </c>
      <c r="M184">
        <v>-1.5013350618705261E-2</v>
      </c>
      <c r="N184">
        <v>0.96924540451062757</v>
      </c>
      <c r="O184">
        <v>430.08615580066049</v>
      </c>
      <c r="P184">
        <v>-2.8263585308288638E-2</v>
      </c>
      <c r="Q184">
        <v>0.62611896062854278</v>
      </c>
    </row>
    <row r="185" spans="1:17" x14ac:dyDescent="0.2">
      <c r="A185" t="s">
        <v>53</v>
      </c>
      <c r="B185" t="s">
        <v>32</v>
      </c>
      <c r="C185" t="s">
        <v>33</v>
      </c>
      <c r="D185" t="s">
        <v>34</v>
      </c>
      <c r="E185" t="s">
        <v>25</v>
      </c>
      <c r="F185">
        <v>-3.5633111111111111</v>
      </c>
      <c r="G185">
        <v>0.94659728024109702</v>
      </c>
      <c r="H185">
        <v>-16.34931189946467</v>
      </c>
      <c r="I185">
        <v>0.35982106120065538</v>
      </c>
      <c r="J185">
        <v>-1.113455555555555</v>
      </c>
      <c r="K185">
        <v>-8.158547937443366</v>
      </c>
      <c r="L185">
        <v>171.09377810207161</v>
      </c>
      <c r="M185">
        <v>-2.6834316514302538E-2</v>
      </c>
      <c r="N185">
        <v>0.96294127110854111</v>
      </c>
      <c r="O185">
        <v>504.69032996017921</v>
      </c>
      <c r="P185">
        <v>-5.8194516128022643E-2</v>
      </c>
      <c r="Q185">
        <v>0.39297725327258731</v>
      </c>
    </row>
    <row r="186" spans="1:17" x14ac:dyDescent="0.2">
      <c r="A186" t="s">
        <v>53</v>
      </c>
      <c r="B186" t="s">
        <v>32</v>
      </c>
      <c r="C186" t="s">
        <v>33</v>
      </c>
      <c r="D186" t="s">
        <v>34</v>
      </c>
      <c r="E186" t="s">
        <v>26</v>
      </c>
      <c r="F186">
        <v>-1.504413157894738</v>
      </c>
      <c r="G186">
        <v>0.92744317145140209</v>
      </c>
      <c r="H186">
        <v>-7.1636426271979516</v>
      </c>
      <c r="I186">
        <v>0.2643115221346789</v>
      </c>
      <c r="J186">
        <v>-0.1564263157894743</v>
      </c>
      <c r="K186">
        <v>2.6211510739283308</v>
      </c>
      <c r="L186">
        <v>122.3536094246617</v>
      </c>
      <c r="M186">
        <v>-1.61432173608545E-2</v>
      </c>
      <c r="N186">
        <v>0.94211929668453642</v>
      </c>
      <c r="O186">
        <v>394.16817102984118</v>
      </c>
      <c r="P186">
        <v>-2.4063441795002301E-2</v>
      </c>
      <c r="Q186">
        <v>0.2409829096676889</v>
      </c>
    </row>
    <row r="187" spans="1:17" x14ac:dyDescent="0.2">
      <c r="A187" t="s">
        <v>53</v>
      </c>
      <c r="B187" t="s">
        <v>32</v>
      </c>
      <c r="C187" t="s">
        <v>33</v>
      </c>
      <c r="D187" t="s">
        <v>34</v>
      </c>
      <c r="E187" t="s">
        <v>27</v>
      </c>
      <c r="F187">
        <v>-3.2414444444444439</v>
      </c>
      <c r="G187">
        <v>0.92766666376424123</v>
      </c>
      <c r="H187">
        <v>-16.748739633769649</v>
      </c>
      <c r="I187">
        <v>0.32592175928774397</v>
      </c>
      <c r="J187">
        <v>-0.79158888888888823</v>
      </c>
      <c r="K187">
        <v>-8.5579756717483448</v>
      </c>
      <c r="L187">
        <v>163.98394692169401</v>
      </c>
      <c r="M187">
        <v>-2.5026183173744141E-2</v>
      </c>
      <c r="N187">
        <v>0.94178638830770078</v>
      </c>
      <c r="O187">
        <v>486.03479346270677</v>
      </c>
      <c r="P187">
        <v>-6.6058420528739129E-2</v>
      </c>
      <c r="Q187">
        <v>0.35433926667040683</v>
      </c>
    </row>
    <row r="188" spans="1:17" x14ac:dyDescent="0.2">
      <c r="A188" t="s">
        <v>53</v>
      </c>
      <c r="B188" t="s">
        <v>32</v>
      </c>
      <c r="C188" t="s">
        <v>33</v>
      </c>
      <c r="D188" t="s">
        <v>34</v>
      </c>
      <c r="E188" t="s">
        <v>28</v>
      </c>
      <c r="F188">
        <v>-1.443336842105263</v>
      </c>
      <c r="G188">
        <v>0.9590063462633629</v>
      </c>
      <c r="H188">
        <v>-5.3000932259965774</v>
      </c>
      <c r="I188">
        <v>0.19540208405473311</v>
      </c>
      <c r="J188">
        <v>-9.534999999999938E-2</v>
      </c>
      <c r="K188">
        <v>4.4847004751297046</v>
      </c>
      <c r="L188">
        <v>121.4228172133533</v>
      </c>
      <c r="M188">
        <v>-1.547835134685599E-2</v>
      </c>
      <c r="N188">
        <v>0.9761148583554492</v>
      </c>
      <c r="O188">
        <v>333.7461321324663</v>
      </c>
      <c r="P188">
        <v>-2.826869751972055E-2</v>
      </c>
      <c r="Q188">
        <v>0.2245038512871832</v>
      </c>
    </row>
    <row r="189" spans="1:17" x14ac:dyDescent="0.2">
      <c r="A189" t="s">
        <v>53</v>
      </c>
      <c r="B189" t="s">
        <v>32</v>
      </c>
      <c r="C189" t="s">
        <v>33</v>
      </c>
      <c r="D189" t="s">
        <v>34</v>
      </c>
      <c r="E189" t="s">
        <v>29</v>
      </c>
      <c r="F189">
        <v>-3.4705888888888898</v>
      </c>
      <c r="G189">
        <v>0.93324273018984671</v>
      </c>
      <c r="H189">
        <v>-9.9079412345448183</v>
      </c>
      <c r="I189">
        <v>0.12513567602276579</v>
      </c>
      <c r="J189">
        <v>-1.0207333333333339</v>
      </c>
      <c r="K189">
        <v>-1.717177272523511</v>
      </c>
      <c r="L189">
        <v>154.96896253235681</v>
      </c>
      <c r="M189">
        <v>-2.9634776911793871E-2</v>
      </c>
      <c r="N189">
        <v>0.95176939539149541</v>
      </c>
      <c r="O189">
        <v>401.46064586739527</v>
      </c>
      <c r="P189">
        <v>-4.9498608578183091E-2</v>
      </c>
      <c r="Q189">
        <v>0.16444079254176339</v>
      </c>
    </row>
    <row r="190" spans="1:17" x14ac:dyDescent="0.2">
      <c r="A190" t="s">
        <v>53</v>
      </c>
      <c r="B190" t="s">
        <v>32</v>
      </c>
      <c r="C190" t="s">
        <v>33</v>
      </c>
      <c r="D190" t="s">
        <v>34</v>
      </c>
      <c r="E190" t="s">
        <v>30</v>
      </c>
      <c r="F190">
        <v>-1.403843157894737</v>
      </c>
      <c r="G190">
        <v>0.96946779205326672</v>
      </c>
      <c r="H190">
        <v>-3.6522296124728011</v>
      </c>
      <c r="I190">
        <v>0.12170430868390721</v>
      </c>
      <c r="J190">
        <v>-5.5856315789473372E-2</v>
      </c>
      <c r="K190">
        <v>6.1325640886534822</v>
      </c>
      <c r="L190">
        <v>119.69228143149201</v>
      </c>
      <c r="M190">
        <v>-1.5126547146169711E-2</v>
      </c>
      <c r="N190">
        <v>0.98265644269075303</v>
      </c>
      <c r="O190">
        <v>308.26695256402093</v>
      </c>
      <c r="P190">
        <v>-1.5030430938317329E-2</v>
      </c>
      <c r="Q190">
        <v>0.1214141182809855</v>
      </c>
    </row>
    <row r="191" spans="1:17" x14ac:dyDescent="0.2">
      <c r="A191" t="s">
        <v>54</v>
      </c>
      <c r="B191" t="s">
        <v>18</v>
      </c>
      <c r="C191" t="s">
        <v>19</v>
      </c>
      <c r="D191" t="s">
        <v>34</v>
      </c>
      <c r="E191" t="s">
        <v>21</v>
      </c>
      <c r="F191">
        <v>-26.21638888888889</v>
      </c>
      <c r="G191">
        <v>0.96424700240078565</v>
      </c>
      <c r="H191">
        <v>-15.17380699157532</v>
      </c>
      <c r="I191">
        <v>0.95542866797581283</v>
      </c>
      <c r="J191">
        <v>0</v>
      </c>
      <c r="K191">
        <v>0</v>
      </c>
      <c r="L191">
        <v>2213.4316701824009</v>
      </c>
      <c r="M191">
        <v>-1.345868050214493E-2</v>
      </c>
      <c r="N191">
        <v>0.97196350733191927</v>
      </c>
      <c r="O191">
        <v>1137.384760978993</v>
      </c>
      <c r="P191">
        <v>-1.54652344365381E-2</v>
      </c>
      <c r="Q191">
        <v>0.96531780997542804</v>
      </c>
    </row>
    <row r="192" spans="1:17" x14ac:dyDescent="0.2">
      <c r="A192" t="s">
        <v>54</v>
      </c>
      <c r="B192" t="s">
        <v>18</v>
      </c>
      <c r="C192" t="s">
        <v>19</v>
      </c>
      <c r="D192" t="s">
        <v>34</v>
      </c>
      <c r="E192" t="s">
        <v>22</v>
      </c>
      <c r="F192">
        <v>-14.40442947368421</v>
      </c>
      <c r="G192">
        <v>0.98787345661456571</v>
      </c>
      <c r="H192">
        <v>-7.3937304169944422</v>
      </c>
      <c r="I192">
        <v>0.98435220332131435</v>
      </c>
      <c r="J192">
        <v>0</v>
      </c>
      <c r="K192">
        <v>0</v>
      </c>
      <c r="L192">
        <v>2030.32637560835</v>
      </c>
      <c r="M192">
        <v>-8.1347488162131186E-3</v>
      </c>
      <c r="N192">
        <v>0.99322149405037496</v>
      </c>
      <c r="O192">
        <v>1019.6503267757211</v>
      </c>
      <c r="P192">
        <v>-8.3546102674171546E-3</v>
      </c>
      <c r="Q192">
        <v>0.99100744529518314</v>
      </c>
    </row>
    <row r="193" spans="1:17" x14ac:dyDescent="0.2">
      <c r="A193" t="s">
        <v>54</v>
      </c>
      <c r="B193" t="s">
        <v>18</v>
      </c>
      <c r="C193" t="s">
        <v>19</v>
      </c>
      <c r="D193" t="s">
        <v>34</v>
      </c>
      <c r="E193" t="s">
        <v>23</v>
      </c>
      <c r="F193">
        <v>-24.167766666666669</v>
      </c>
      <c r="G193">
        <v>0.9504127059555979</v>
      </c>
      <c r="H193">
        <v>-17.263221969628269</v>
      </c>
      <c r="I193">
        <v>0.87322260692944964</v>
      </c>
      <c r="J193">
        <v>2.0486222222222139</v>
      </c>
      <c r="K193">
        <v>-2.0894149780529472</v>
      </c>
      <c r="L193">
        <v>2164.1674965813631</v>
      </c>
      <c r="M193">
        <v>-1.258085072628656E-2</v>
      </c>
      <c r="N193">
        <v>0.95717667950659302</v>
      </c>
      <c r="O193">
        <v>1171.483692537498</v>
      </c>
      <c r="P193">
        <v>-1.751427916772498E-2</v>
      </c>
      <c r="Q193">
        <v>0.88839106869968221</v>
      </c>
    </row>
    <row r="194" spans="1:17" x14ac:dyDescent="0.2">
      <c r="A194" t="s">
        <v>54</v>
      </c>
      <c r="B194" t="s">
        <v>18</v>
      </c>
      <c r="C194" t="s">
        <v>19</v>
      </c>
      <c r="D194" t="s">
        <v>34</v>
      </c>
      <c r="E194" t="s">
        <v>24</v>
      </c>
      <c r="F194">
        <v>-15.85406947368422</v>
      </c>
      <c r="G194">
        <v>0.96021524705661965</v>
      </c>
      <c r="H194">
        <v>4.5810658319631994</v>
      </c>
      <c r="I194">
        <v>0.15693221904457511</v>
      </c>
      <c r="J194">
        <v>-1.449640000000002</v>
      </c>
      <c r="K194">
        <v>11.97479624895764</v>
      </c>
      <c r="L194">
        <v>1866.7073771202749</v>
      </c>
      <c r="M194">
        <v>-1.0129315704760561E-2</v>
      </c>
      <c r="N194">
        <v>0.97299723543016814</v>
      </c>
      <c r="O194">
        <v>1179.6371580447169</v>
      </c>
      <c r="P194">
        <v>3.6873402324078949E-3</v>
      </c>
      <c r="Q194">
        <v>0.15841158238642869</v>
      </c>
    </row>
    <row r="195" spans="1:17" x14ac:dyDescent="0.2">
      <c r="A195" t="s">
        <v>54</v>
      </c>
      <c r="B195" t="s">
        <v>18</v>
      </c>
      <c r="C195" t="s">
        <v>19</v>
      </c>
      <c r="D195" t="s">
        <v>34</v>
      </c>
      <c r="E195" t="s">
        <v>25</v>
      </c>
      <c r="F195">
        <v>-24.770666666666671</v>
      </c>
      <c r="G195">
        <v>0.938342954508255</v>
      </c>
      <c r="H195">
        <v>-43.298087756647043</v>
      </c>
      <c r="I195">
        <v>0.77501980987609764</v>
      </c>
      <c r="J195">
        <v>1.4457222222222159</v>
      </c>
      <c r="K195">
        <v>-28.12428076507172</v>
      </c>
      <c r="L195">
        <v>2148.0380914423531</v>
      </c>
      <c r="M195">
        <v>-1.3060264861930321E-2</v>
      </c>
      <c r="N195">
        <v>0.94600748424889758</v>
      </c>
      <c r="O195">
        <v>1614.059283200364</v>
      </c>
      <c r="P195">
        <v>-3.965074335084539E-2</v>
      </c>
      <c r="Q195">
        <v>0.81102696720763534</v>
      </c>
    </row>
    <row r="196" spans="1:17" x14ac:dyDescent="0.2">
      <c r="A196" t="s">
        <v>54</v>
      </c>
      <c r="B196" t="s">
        <v>18</v>
      </c>
      <c r="C196" t="s">
        <v>19</v>
      </c>
      <c r="D196" t="s">
        <v>34</v>
      </c>
      <c r="E196" t="s">
        <v>26</v>
      </c>
      <c r="F196">
        <v>-14.044426315789471</v>
      </c>
      <c r="G196">
        <v>0.98469877371590375</v>
      </c>
      <c r="H196">
        <v>-3.100322374130418</v>
      </c>
      <c r="I196">
        <v>0.34918894603729572</v>
      </c>
      <c r="J196">
        <v>0.3600031578947398</v>
      </c>
      <c r="K196">
        <v>4.2934080428640247</v>
      </c>
      <c r="L196">
        <v>1958.1477612829101</v>
      </c>
      <c r="M196">
        <v>-8.2438377687236979E-3</v>
      </c>
      <c r="N196">
        <v>0.99070766900915241</v>
      </c>
      <c r="O196">
        <v>1489.8193418060159</v>
      </c>
      <c r="P196">
        <v>-2.1206174428309199E-3</v>
      </c>
      <c r="Q196">
        <v>0.34371207237156648</v>
      </c>
    </row>
    <row r="197" spans="1:17" x14ac:dyDescent="0.2">
      <c r="A197" t="s">
        <v>54</v>
      </c>
      <c r="B197" t="s">
        <v>18</v>
      </c>
      <c r="C197" t="s">
        <v>19</v>
      </c>
      <c r="D197" t="s">
        <v>34</v>
      </c>
      <c r="E197" t="s">
        <v>27</v>
      </c>
      <c r="F197">
        <v>-27.138211111111119</v>
      </c>
      <c r="G197">
        <v>0.95547618063668882</v>
      </c>
      <c r="H197">
        <v>-41.275275679100822</v>
      </c>
      <c r="I197">
        <v>0.63324878174739463</v>
      </c>
      <c r="J197">
        <v>-0.92182222222223231</v>
      </c>
      <c r="K197">
        <v>-26.1014686875255</v>
      </c>
      <c r="L197">
        <v>2145.0426883258742</v>
      </c>
      <c r="M197">
        <v>-1.451147255191965E-2</v>
      </c>
      <c r="N197">
        <v>0.96321650622488419</v>
      </c>
      <c r="O197">
        <v>1505.8263276806699</v>
      </c>
      <c r="P197">
        <v>-4.3238595773527559E-2</v>
      </c>
      <c r="Q197">
        <v>0.68532426217576503</v>
      </c>
    </row>
    <row r="198" spans="1:17" x14ac:dyDescent="0.2">
      <c r="A198" t="s">
        <v>54</v>
      </c>
      <c r="B198" t="s">
        <v>18</v>
      </c>
      <c r="C198" t="s">
        <v>19</v>
      </c>
      <c r="D198" t="s">
        <v>34</v>
      </c>
      <c r="E198" t="s">
        <v>28</v>
      </c>
      <c r="F198">
        <v>-15.1434052631579</v>
      </c>
      <c r="G198">
        <v>0.98930012344302409</v>
      </c>
      <c r="H198">
        <v>-8.5065617880205853</v>
      </c>
      <c r="I198">
        <v>0.97631421635060922</v>
      </c>
      <c r="J198">
        <v>-0.73897578947368103</v>
      </c>
      <c r="K198">
        <v>-1.112831371026143</v>
      </c>
      <c r="L198">
        <v>2011.3348820404669</v>
      </c>
      <c r="M198">
        <v>-8.707610068513465E-3</v>
      </c>
      <c r="N198">
        <v>0.99417978085255454</v>
      </c>
      <c r="O198">
        <v>1037.2540217960559</v>
      </c>
      <c r="P198">
        <v>-9.6684597565929939E-3</v>
      </c>
      <c r="Q198">
        <v>0.98502569102899074</v>
      </c>
    </row>
    <row r="199" spans="1:17" x14ac:dyDescent="0.2">
      <c r="A199" t="s">
        <v>54</v>
      </c>
      <c r="B199" t="s">
        <v>18</v>
      </c>
      <c r="C199" t="s">
        <v>19</v>
      </c>
      <c r="D199" t="s">
        <v>34</v>
      </c>
      <c r="E199" t="s">
        <v>29</v>
      </c>
      <c r="F199">
        <v>-22.394966666666669</v>
      </c>
      <c r="G199">
        <v>0.95161822169760868</v>
      </c>
      <c r="H199">
        <v>-12.696273847152829</v>
      </c>
      <c r="I199">
        <v>0.882884511398769</v>
      </c>
      <c r="J199">
        <v>3.8214222222222181</v>
      </c>
      <c r="K199">
        <v>2.4775331444224911</v>
      </c>
      <c r="L199">
        <v>1703.560268777491</v>
      </c>
      <c r="M199">
        <v>-1.5174792407939799E-2</v>
      </c>
      <c r="N199">
        <v>0.95981589559256508</v>
      </c>
      <c r="O199">
        <v>896.92860605087913</v>
      </c>
      <c r="P199">
        <v>-1.669854036547698E-2</v>
      </c>
      <c r="Q199">
        <v>0.89793826186483749</v>
      </c>
    </row>
    <row r="200" spans="1:17" x14ac:dyDescent="0.2">
      <c r="A200" t="s">
        <v>54</v>
      </c>
      <c r="B200" t="s">
        <v>18</v>
      </c>
      <c r="C200" t="s">
        <v>19</v>
      </c>
      <c r="D200" t="s">
        <v>34</v>
      </c>
      <c r="E200" t="s">
        <v>30</v>
      </c>
      <c r="F200">
        <v>-12.885947894736841</v>
      </c>
      <c r="G200">
        <v>0.98559021405938707</v>
      </c>
      <c r="H200">
        <v>-6.9615171254149706</v>
      </c>
      <c r="I200">
        <v>0.98435468746777199</v>
      </c>
      <c r="J200">
        <v>1.51848157894737</v>
      </c>
      <c r="K200">
        <v>0.43221329157947069</v>
      </c>
      <c r="L200">
        <v>1958.326599827267</v>
      </c>
      <c r="M200">
        <v>-7.461580571837767E-3</v>
      </c>
      <c r="N200">
        <v>0.99052649628551215</v>
      </c>
      <c r="O200">
        <v>1018.48818187214</v>
      </c>
      <c r="P200">
        <v>-7.7981600057852119E-3</v>
      </c>
      <c r="Q200">
        <v>0.99000639209720653</v>
      </c>
    </row>
    <row r="201" spans="1:17" x14ac:dyDescent="0.2">
      <c r="A201" t="s">
        <v>55</v>
      </c>
      <c r="B201" t="s">
        <v>18</v>
      </c>
      <c r="C201" t="s">
        <v>19</v>
      </c>
      <c r="D201" t="s">
        <v>34</v>
      </c>
      <c r="E201" t="s">
        <v>21</v>
      </c>
      <c r="F201">
        <v>-20.733488888888871</v>
      </c>
      <c r="G201">
        <v>0.97331751040430714</v>
      </c>
      <c r="H201">
        <v>-6.94434483896109</v>
      </c>
      <c r="I201">
        <v>0.97176266450768034</v>
      </c>
      <c r="J201">
        <v>0</v>
      </c>
      <c r="K201">
        <v>0</v>
      </c>
      <c r="L201">
        <v>1798.2839189865631</v>
      </c>
      <c r="M201">
        <v>-1.303277466199348E-2</v>
      </c>
      <c r="N201">
        <v>0.97965392797726736</v>
      </c>
      <c r="O201">
        <v>789.5627008297879</v>
      </c>
      <c r="P201">
        <v>-9.635408336810241E-3</v>
      </c>
      <c r="Q201">
        <v>0.97682539596404783</v>
      </c>
    </row>
    <row r="202" spans="1:17" x14ac:dyDescent="0.2">
      <c r="A202" t="s">
        <v>55</v>
      </c>
      <c r="B202" t="s">
        <v>18</v>
      </c>
      <c r="C202" t="s">
        <v>19</v>
      </c>
      <c r="D202" t="s">
        <v>34</v>
      </c>
      <c r="E202" t="s">
        <v>22</v>
      </c>
      <c r="F202">
        <v>-11.399870526315789</v>
      </c>
      <c r="G202">
        <v>0.98707753811282528</v>
      </c>
      <c r="H202">
        <v>-7.2166250403028744</v>
      </c>
      <c r="I202">
        <v>0.83819842139487655</v>
      </c>
      <c r="J202">
        <v>0</v>
      </c>
      <c r="K202">
        <v>0</v>
      </c>
      <c r="L202">
        <v>1635.255853947895</v>
      </c>
      <c r="M202">
        <v>-7.9732558258929272E-3</v>
      </c>
      <c r="N202">
        <v>0.99246080223501976</v>
      </c>
      <c r="O202">
        <v>762.46444296072218</v>
      </c>
      <c r="P202">
        <v>-1.15061264496339E-2</v>
      </c>
      <c r="Q202">
        <v>0.84750774475623036</v>
      </c>
    </row>
    <row r="203" spans="1:17" x14ac:dyDescent="0.2">
      <c r="A203" t="s">
        <v>55</v>
      </c>
      <c r="B203" t="s">
        <v>18</v>
      </c>
      <c r="C203" t="s">
        <v>19</v>
      </c>
      <c r="D203" t="s">
        <v>34</v>
      </c>
      <c r="E203" t="s">
        <v>23</v>
      </c>
      <c r="F203">
        <v>-20.607088888888882</v>
      </c>
      <c r="G203">
        <v>0.9502746159437967</v>
      </c>
      <c r="H203">
        <v>-7.0972988394119714</v>
      </c>
      <c r="I203">
        <v>0.94680883612731337</v>
      </c>
      <c r="J203">
        <v>0.12639999999999321</v>
      </c>
      <c r="K203">
        <v>-0.15295400045088139</v>
      </c>
      <c r="L203">
        <v>1810.632994019639</v>
      </c>
      <c r="M203">
        <v>-1.286476194385216E-2</v>
      </c>
      <c r="N203">
        <v>0.95784063232822847</v>
      </c>
      <c r="O203">
        <v>793.07617158019843</v>
      </c>
      <c r="P203">
        <v>-9.8317450237738503E-3</v>
      </c>
      <c r="Q203">
        <v>0.95276198548558155</v>
      </c>
    </row>
    <row r="204" spans="1:17" x14ac:dyDescent="0.2">
      <c r="A204" t="s">
        <v>55</v>
      </c>
      <c r="B204" t="s">
        <v>18</v>
      </c>
      <c r="C204" t="s">
        <v>19</v>
      </c>
      <c r="D204" t="s">
        <v>34</v>
      </c>
      <c r="E204" t="s">
        <v>24</v>
      </c>
      <c r="F204">
        <v>-13.594793684210529</v>
      </c>
      <c r="G204">
        <v>0.98653512833115298</v>
      </c>
      <c r="H204">
        <v>-7.3295578464598243</v>
      </c>
      <c r="I204">
        <v>0.9136092448473857</v>
      </c>
      <c r="J204">
        <v>-2.1949231578947379</v>
      </c>
      <c r="K204">
        <v>-0.11293280615694989</v>
      </c>
      <c r="L204">
        <v>1664.8945513509279</v>
      </c>
      <c r="M204">
        <v>-9.5913289875034311E-3</v>
      </c>
      <c r="N204">
        <v>0.99291329226748515</v>
      </c>
      <c r="O204">
        <v>774.28146508244151</v>
      </c>
      <c r="P204">
        <v>-1.1218275420605221E-2</v>
      </c>
      <c r="Q204">
        <v>0.90431665648333803</v>
      </c>
    </row>
    <row r="205" spans="1:17" x14ac:dyDescent="0.2">
      <c r="A205" t="s">
        <v>55</v>
      </c>
      <c r="B205" t="s">
        <v>18</v>
      </c>
      <c r="C205" t="s">
        <v>19</v>
      </c>
      <c r="D205" t="s">
        <v>34</v>
      </c>
      <c r="E205" t="s">
        <v>25</v>
      </c>
      <c r="F205">
        <v>-20.78381111111111</v>
      </c>
      <c r="G205">
        <v>0.94122099715618568</v>
      </c>
      <c r="H205">
        <v>-7.1194315351532662</v>
      </c>
      <c r="I205">
        <v>0.91260305632083671</v>
      </c>
      <c r="J205">
        <v>-5.0322222222238373E-2</v>
      </c>
      <c r="K205">
        <v>-0.17508669619217621</v>
      </c>
      <c r="L205">
        <v>1761.0401765480131</v>
      </c>
      <c r="M205">
        <v>-1.3412798652767269E-2</v>
      </c>
      <c r="N205">
        <v>0.94925401513685714</v>
      </c>
      <c r="O205">
        <v>780.05680073704048</v>
      </c>
      <c r="P205">
        <v>-1.0070802179290701E-2</v>
      </c>
      <c r="Q205">
        <v>0.92039433043194374</v>
      </c>
    </row>
    <row r="206" spans="1:17" x14ac:dyDescent="0.2">
      <c r="A206" t="s">
        <v>55</v>
      </c>
      <c r="B206" t="s">
        <v>18</v>
      </c>
      <c r="C206" t="s">
        <v>19</v>
      </c>
      <c r="D206" t="s">
        <v>34</v>
      </c>
      <c r="E206" t="s">
        <v>26</v>
      </c>
      <c r="F206">
        <v>-11.42411578947369</v>
      </c>
      <c r="G206">
        <v>0.98749887984395235</v>
      </c>
      <c r="H206">
        <v>-7.1608220229664914</v>
      </c>
      <c r="I206">
        <v>0.84044069310654157</v>
      </c>
      <c r="J206">
        <v>-2.4245263157894211E-2</v>
      </c>
      <c r="K206">
        <v>5.5803017336383931E-2</v>
      </c>
      <c r="L206">
        <v>1631.296900671565</v>
      </c>
      <c r="M206">
        <v>-8.0057218960593521E-3</v>
      </c>
      <c r="N206">
        <v>0.99187561389178613</v>
      </c>
      <c r="O206">
        <v>761.74425243719179</v>
      </c>
      <c r="P206">
        <v>-1.1405340370737449E-2</v>
      </c>
      <c r="Q206">
        <v>0.84942672654817952</v>
      </c>
    </row>
    <row r="207" spans="1:17" x14ac:dyDescent="0.2">
      <c r="A207" t="s">
        <v>55</v>
      </c>
      <c r="B207" t="s">
        <v>18</v>
      </c>
      <c r="C207" t="s">
        <v>19</v>
      </c>
      <c r="D207" t="s">
        <v>34</v>
      </c>
      <c r="E207" t="s">
        <v>27</v>
      </c>
      <c r="F207">
        <v>-19.78016666666668</v>
      </c>
      <c r="G207">
        <v>0.96306079820556834</v>
      </c>
      <c r="H207">
        <v>-6.9656289528262922</v>
      </c>
      <c r="I207">
        <v>0.91354576976435931</v>
      </c>
      <c r="J207">
        <v>0.95332222222219798</v>
      </c>
      <c r="K207">
        <v>-2.128411386520224E-2</v>
      </c>
      <c r="L207">
        <v>1706.2842981039739</v>
      </c>
      <c r="M207">
        <v>-1.3118583680913161E-2</v>
      </c>
      <c r="N207">
        <v>0.96966643932436447</v>
      </c>
      <c r="O207">
        <v>762.20268369997939</v>
      </c>
      <c r="P207">
        <v>-1.0087248643061691E-2</v>
      </c>
      <c r="Q207">
        <v>0.92150467599866492</v>
      </c>
    </row>
    <row r="208" spans="1:17" x14ac:dyDescent="0.2">
      <c r="A208" t="s">
        <v>55</v>
      </c>
      <c r="B208" t="s">
        <v>18</v>
      </c>
      <c r="C208" t="s">
        <v>19</v>
      </c>
      <c r="D208" t="s">
        <v>34</v>
      </c>
      <c r="E208" t="s">
        <v>28</v>
      </c>
      <c r="F208">
        <v>-11.09944210526316</v>
      </c>
      <c r="G208">
        <v>0.9810879816830842</v>
      </c>
      <c r="H208">
        <v>-6.8836993845823793</v>
      </c>
      <c r="I208">
        <v>0.83726066693170675</v>
      </c>
      <c r="J208">
        <v>0.3004284210526329</v>
      </c>
      <c r="K208">
        <v>0.33292565572049521</v>
      </c>
      <c r="L208">
        <v>1603.441017723334</v>
      </c>
      <c r="M208">
        <v>-7.9129667110673964E-3</v>
      </c>
      <c r="N208">
        <v>0.98683383724928042</v>
      </c>
      <c r="O208">
        <v>747.93361491040457</v>
      </c>
      <c r="P208">
        <v>-1.1125740819708709E-2</v>
      </c>
      <c r="Q208">
        <v>0.84681615209312766</v>
      </c>
    </row>
    <row r="209" spans="1:17" x14ac:dyDescent="0.2">
      <c r="A209" t="s">
        <v>55</v>
      </c>
      <c r="B209" t="s">
        <v>18</v>
      </c>
      <c r="C209" t="s">
        <v>19</v>
      </c>
      <c r="D209" t="s">
        <v>34</v>
      </c>
      <c r="E209" t="s">
        <v>29</v>
      </c>
      <c r="F209">
        <v>-16.250144444444441</v>
      </c>
      <c r="G209">
        <v>0.98551935127975754</v>
      </c>
      <c r="H209">
        <v>15.24879962046206</v>
      </c>
      <c r="I209">
        <v>0.2196723745342217</v>
      </c>
      <c r="J209">
        <v>4.4833444444444339</v>
      </c>
      <c r="K209">
        <v>22.193144459423149</v>
      </c>
      <c r="L209">
        <v>1222.875160336218</v>
      </c>
      <c r="M209">
        <v>-1.5293712612223259E-2</v>
      </c>
      <c r="N209">
        <v>0.99006815499701128</v>
      </c>
      <c r="O209">
        <v>818.27665081028215</v>
      </c>
      <c r="P209">
        <v>1.5146002216748449E-2</v>
      </c>
      <c r="Q209">
        <v>0.20487172951877389</v>
      </c>
    </row>
    <row r="210" spans="1:17" x14ac:dyDescent="0.2">
      <c r="A210" t="s">
        <v>55</v>
      </c>
      <c r="B210" t="s">
        <v>18</v>
      </c>
      <c r="C210" t="s">
        <v>19</v>
      </c>
      <c r="D210" t="s">
        <v>34</v>
      </c>
      <c r="E210" t="s">
        <v>30</v>
      </c>
      <c r="F210">
        <v>-11.460143157894739</v>
      </c>
      <c r="G210">
        <v>0.98366160326692265</v>
      </c>
      <c r="H210">
        <v>-6.1587908771909996</v>
      </c>
      <c r="I210">
        <v>0.71218522487272284</v>
      </c>
      <c r="J210">
        <v>-6.02726315789468E-2</v>
      </c>
      <c r="K210">
        <v>1.0578341631118751</v>
      </c>
      <c r="L210">
        <v>1622.3831683739411</v>
      </c>
      <c r="M210">
        <v>-8.0975218731224024E-3</v>
      </c>
      <c r="N210">
        <v>0.98932064323715774</v>
      </c>
      <c r="O210">
        <v>733.31581501020207</v>
      </c>
      <c r="P210">
        <v>-1.0230276442427331E-2</v>
      </c>
      <c r="Q210">
        <v>0.7359892642859025</v>
      </c>
    </row>
    <row r="211" spans="1:17" x14ac:dyDescent="0.2">
      <c r="A211" t="s">
        <v>56</v>
      </c>
      <c r="B211" t="s">
        <v>18</v>
      </c>
      <c r="C211" t="s">
        <v>42</v>
      </c>
      <c r="D211" t="s">
        <v>34</v>
      </c>
      <c r="E211" t="s">
        <v>21</v>
      </c>
      <c r="F211">
        <v>-34.524177777777759</v>
      </c>
      <c r="G211">
        <v>0.98206520655410634</v>
      </c>
      <c r="H211">
        <v>121.90416233339791</v>
      </c>
      <c r="I211">
        <v>0.77966690120194859</v>
      </c>
      <c r="J211">
        <v>0</v>
      </c>
      <c r="K211">
        <v>0</v>
      </c>
      <c r="L211">
        <v>3397.741414303342</v>
      </c>
      <c r="M211">
        <v>-1.1289120872885141E-2</v>
      </c>
      <c r="N211">
        <v>0.98661892279795793</v>
      </c>
      <c r="O211">
        <v>17653.84706095084</v>
      </c>
      <c r="P211">
        <v>6.5598421592247104E-3</v>
      </c>
      <c r="Q211">
        <v>0.78594446889997571</v>
      </c>
    </row>
    <row r="212" spans="1:17" x14ac:dyDescent="0.2">
      <c r="A212" t="s">
        <v>56</v>
      </c>
      <c r="B212" t="s">
        <v>18</v>
      </c>
      <c r="C212" t="s">
        <v>42</v>
      </c>
      <c r="D212" t="s">
        <v>34</v>
      </c>
      <c r="E212" t="s">
        <v>22</v>
      </c>
      <c r="F212">
        <v>-20.655607368421052</v>
      </c>
      <c r="G212">
        <v>0.98973733537228203</v>
      </c>
      <c r="H212">
        <v>96.579093100447508</v>
      </c>
      <c r="I212">
        <v>0.90505232726545382</v>
      </c>
      <c r="J212">
        <v>0</v>
      </c>
      <c r="K212">
        <v>0</v>
      </c>
      <c r="L212">
        <v>3152.937171738125</v>
      </c>
      <c r="M212">
        <v>-7.4092757361388078E-3</v>
      </c>
      <c r="N212">
        <v>0.99289951893318007</v>
      </c>
      <c r="O212">
        <v>18182.137733893749</v>
      </c>
      <c r="P212">
        <v>4.9061161613864679E-3</v>
      </c>
      <c r="Q212">
        <v>0.90686742631095385</v>
      </c>
    </row>
    <row r="213" spans="1:17" x14ac:dyDescent="0.2">
      <c r="A213" t="s">
        <v>56</v>
      </c>
      <c r="B213" t="s">
        <v>18</v>
      </c>
      <c r="C213" t="s">
        <v>42</v>
      </c>
      <c r="D213" t="s">
        <v>34</v>
      </c>
      <c r="E213" t="s">
        <v>23</v>
      </c>
      <c r="F213">
        <v>-286.82217777777788</v>
      </c>
      <c r="G213">
        <v>0.95429858493197095</v>
      </c>
      <c r="H213">
        <v>-292.68224993752648</v>
      </c>
      <c r="I213">
        <v>0.94780511148220981</v>
      </c>
      <c r="J213">
        <v>-252.2980000000002</v>
      </c>
      <c r="K213">
        <v>-414.58641227092448</v>
      </c>
      <c r="L213">
        <v>28751.407888577269</v>
      </c>
      <c r="M213">
        <v>-1.108466290274099E-2</v>
      </c>
      <c r="N213">
        <v>0.96052218641293752</v>
      </c>
      <c r="O213">
        <v>31648.70136145068</v>
      </c>
      <c r="P213">
        <v>-1.019001043817268E-2</v>
      </c>
      <c r="Q213">
        <v>0.95354916710742321</v>
      </c>
    </row>
    <row r="214" spans="1:17" x14ac:dyDescent="0.2">
      <c r="A214" t="s">
        <v>56</v>
      </c>
      <c r="B214" t="s">
        <v>18</v>
      </c>
      <c r="C214" t="s">
        <v>42</v>
      </c>
      <c r="D214" t="s">
        <v>34</v>
      </c>
      <c r="E214" t="s">
        <v>24</v>
      </c>
      <c r="F214">
        <v>-19.670155263157891</v>
      </c>
      <c r="G214">
        <v>0.98850908499229428</v>
      </c>
      <c r="H214">
        <v>54.8719412618074</v>
      </c>
      <c r="I214">
        <v>0.65535085617391398</v>
      </c>
      <c r="J214">
        <v>0.98545210526315685</v>
      </c>
      <c r="K214">
        <v>-41.707151838640108</v>
      </c>
      <c r="L214">
        <v>3128.8076995998258</v>
      </c>
      <c r="M214">
        <v>-7.0782938421471526E-3</v>
      </c>
      <c r="N214">
        <v>0.99243863942624644</v>
      </c>
      <c r="O214">
        <v>17613.418414372351</v>
      </c>
      <c r="P214">
        <v>2.9977490774007352E-3</v>
      </c>
      <c r="Q214">
        <v>0.66264536115848993</v>
      </c>
    </row>
    <row r="215" spans="1:17" x14ac:dyDescent="0.2">
      <c r="A215" t="s">
        <v>56</v>
      </c>
      <c r="B215" t="s">
        <v>18</v>
      </c>
      <c r="C215" t="s">
        <v>42</v>
      </c>
      <c r="D215" t="s">
        <v>34</v>
      </c>
      <c r="E215" t="s">
        <v>25</v>
      </c>
      <c r="F215">
        <v>-263.56653333333338</v>
      </c>
      <c r="G215">
        <v>0.97268480601058638</v>
      </c>
      <c r="H215">
        <v>-246.3631263414967</v>
      </c>
      <c r="I215">
        <v>0.96431115255511857</v>
      </c>
      <c r="J215">
        <v>-229.0423555555557</v>
      </c>
      <c r="K215">
        <v>-368.26728867489459</v>
      </c>
      <c r="L215">
        <v>27289.077715345749</v>
      </c>
      <c r="M215">
        <v>-1.0677462719366929E-2</v>
      </c>
      <c r="N215">
        <v>0.97759827209334738</v>
      </c>
      <c r="O215">
        <v>30566.533382680071</v>
      </c>
      <c r="P215">
        <v>-8.7514960317403787E-3</v>
      </c>
      <c r="Q215">
        <v>0.96827818356396989</v>
      </c>
    </row>
    <row r="216" spans="1:17" x14ac:dyDescent="0.2">
      <c r="A216" t="s">
        <v>56</v>
      </c>
      <c r="B216" t="s">
        <v>18</v>
      </c>
      <c r="C216" t="s">
        <v>42</v>
      </c>
      <c r="D216" t="s">
        <v>34</v>
      </c>
      <c r="E216" t="s">
        <v>26</v>
      </c>
      <c r="F216">
        <v>-19.92881105263158</v>
      </c>
      <c r="G216">
        <v>0.98676460779913955</v>
      </c>
      <c r="H216">
        <v>50.375530325849653</v>
      </c>
      <c r="I216">
        <v>0.47832187341053201</v>
      </c>
      <c r="J216">
        <v>0.72679631578947124</v>
      </c>
      <c r="K216">
        <v>-46.203562774597863</v>
      </c>
      <c r="L216">
        <v>3128.2120926284661</v>
      </c>
      <c r="M216">
        <v>-7.1905171866113423E-3</v>
      </c>
      <c r="N216">
        <v>0.99137023832792481</v>
      </c>
      <c r="O216">
        <v>22443.566937643209</v>
      </c>
      <c r="P216">
        <v>2.17339782051526E-3</v>
      </c>
      <c r="Q216">
        <v>0.48007916795934669</v>
      </c>
    </row>
    <row r="217" spans="1:17" x14ac:dyDescent="0.2">
      <c r="A217" t="s">
        <v>56</v>
      </c>
      <c r="B217" t="s">
        <v>18</v>
      </c>
      <c r="C217" t="s">
        <v>42</v>
      </c>
      <c r="D217" t="s">
        <v>34</v>
      </c>
      <c r="E217" t="s">
        <v>27</v>
      </c>
      <c r="F217">
        <v>-171.47363333333351</v>
      </c>
      <c r="G217">
        <v>0.98519773269813948</v>
      </c>
      <c r="H217">
        <v>-173.78553389109049</v>
      </c>
      <c r="I217">
        <v>0.95307414227553233</v>
      </c>
      <c r="J217">
        <v>-136.94945555555569</v>
      </c>
      <c r="K217">
        <v>-295.68969622448839</v>
      </c>
      <c r="L217">
        <v>20390.476243481829</v>
      </c>
      <c r="M217">
        <v>-9.1554842979097596E-3</v>
      </c>
      <c r="N217">
        <v>0.98835342554535055</v>
      </c>
      <c r="O217">
        <v>23105.074252804301</v>
      </c>
      <c r="P217">
        <v>-8.1310062904599179E-3</v>
      </c>
      <c r="Q217">
        <v>0.95805997129454812</v>
      </c>
    </row>
    <row r="218" spans="1:17" x14ac:dyDescent="0.2">
      <c r="A218" t="s">
        <v>56</v>
      </c>
      <c r="B218" t="s">
        <v>18</v>
      </c>
      <c r="C218" t="s">
        <v>42</v>
      </c>
      <c r="D218" t="s">
        <v>34</v>
      </c>
      <c r="E218" t="s">
        <v>28</v>
      </c>
      <c r="F218">
        <v>-21.765247894736842</v>
      </c>
      <c r="G218">
        <v>0.98706610313542553</v>
      </c>
      <c r="H218">
        <v>31.763774764443269</v>
      </c>
      <c r="I218">
        <v>0.46343447584359337</v>
      </c>
      <c r="J218">
        <v>-1.10964052631579</v>
      </c>
      <c r="K218">
        <v>-64.815318336004239</v>
      </c>
      <c r="L218">
        <v>3160.7231643538971</v>
      </c>
      <c r="M218">
        <v>-7.8506623415808552E-3</v>
      </c>
      <c r="N218">
        <v>0.99117962679578131</v>
      </c>
      <c r="O218">
        <v>21907.18453709405</v>
      </c>
      <c r="P218">
        <v>1.422072393749817E-3</v>
      </c>
      <c r="Q218">
        <v>0.46530537903176022</v>
      </c>
    </row>
    <row r="219" spans="1:17" x14ac:dyDescent="0.2">
      <c r="A219" t="s">
        <v>56</v>
      </c>
      <c r="B219" t="s">
        <v>18</v>
      </c>
      <c r="C219" t="s">
        <v>42</v>
      </c>
      <c r="D219" t="s">
        <v>34</v>
      </c>
      <c r="E219" t="s">
        <v>29</v>
      </c>
      <c r="F219">
        <v>384.00163333333319</v>
      </c>
      <c r="G219">
        <v>0.47081589455412542</v>
      </c>
      <c r="H219">
        <v>38.983831373138322</v>
      </c>
      <c r="I219">
        <v>0.19617728525041239</v>
      </c>
      <c r="J219">
        <v>418.52581111111101</v>
      </c>
      <c r="K219">
        <v>-82.920330960259605</v>
      </c>
      <c r="L219">
        <v>2019.1869836241419</v>
      </c>
      <c r="M219">
        <v>7.4061436621809418E-2</v>
      </c>
      <c r="N219">
        <v>0.36950162156273492</v>
      </c>
      <c r="O219">
        <v>17367.67672482695</v>
      </c>
      <c r="P219">
        <v>2.176982453116576E-3</v>
      </c>
      <c r="Q219">
        <v>0.19403766852199289</v>
      </c>
    </row>
    <row r="220" spans="1:17" x14ac:dyDescent="0.2">
      <c r="A220" t="s">
        <v>56</v>
      </c>
      <c r="B220" t="s">
        <v>18</v>
      </c>
      <c r="C220" t="s">
        <v>42</v>
      </c>
      <c r="D220" t="s">
        <v>34</v>
      </c>
      <c r="E220" t="s">
        <v>30</v>
      </c>
      <c r="F220">
        <v>-19.871216842105259</v>
      </c>
      <c r="G220">
        <v>0.99318478306356406</v>
      </c>
      <c r="H220">
        <v>57.43107505191432</v>
      </c>
      <c r="I220">
        <v>0.76209665032629847</v>
      </c>
      <c r="J220">
        <v>0.78439052631578932</v>
      </c>
      <c r="K220">
        <v>-39.148018048533189</v>
      </c>
      <c r="L220">
        <v>3136.2683603705241</v>
      </c>
      <c r="M220">
        <v>-7.1286233979782473E-3</v>
      </c>
      <c r="N220">
        <v>0.99563430010654264</v>
      </c>
      <c r="O220">
        <v>20209.782289583829</v>
      </c>
      <c r="P220">
        <v>2.723185341321579E-3</v>
      </c>
      <c r="Q220">
        <v>0.76389565597829223</v>
      </c>
    </row>
    <row r="221" spans="1:17" x14ac:dyDescent="0.2">
      <c r="A221" t="s">
        <v>57</v>
      </c>
      <c r="B221" t="s">
        <v>32</v>
      </c>
      <c r="C221" t="s">
        <v>19</v>
      </c>
      <c r="D221" t="s">
        <v>34</v>
      </c>
      <c r="E221" t="s">
        <v>21</v>
      </c>
      <c r="F221">
        <v>-17.799166666666672</v>
      </c>
      <c r="G221">
        <v>0.9878374583483821</v>
      </c>
      <c r="H221">
        <v>-10.079611357398351</v>
      </c>
      <c r="I221">
        <v>0.97776941933386496</v>
      </c>
      <c r="J221">
        <v>0</v>
      </c>
      <c r="K221">
        <v>0</v>
      </c>
      <c r="L221">
        <v>1790.166926901326</v>
      </c>
      <c r="M221">
        <v>-1.098739201542397E-2</v>
      </c>
      <c r="N221">
        <v>0.98971637834089932</v>
      </c>
      <c r="O221">
        <v>886.42338358168797</v>
      </c>
      <c r="P221">
        <v>-1.2821123834895001E-2</v>
      </c>
      <c r="Q221">
        <v>0.98347648039895541</v>
      </c>
    </row>
    <row r="222" spans="1:17" x14ac:dyDescent="0.2">
      <c r="A222" t="s">
        <v>57</v>
      </c>
      <c r="B222" t="s">
        <v>32</v>
      </c>
      <c r="C222" t="s">
        <v>19</v>
      </c>
      <c r="D222" t="s">
        <v>34</v>
      </c>
      <c r="E222" t="s">
        <v>22</v>
      </c>
      <c r="F222">
        <v>-13.490186315789471</v>
      </c>
      <c r="G222">
        <v>0.99796167133160618</v>
      </c>
      <c r="H222">
        <v>-5.7628974380936917</v>
      </c>
      <c r="I222">
        <v>0.98937696054745405</v>
      </c>
      <c r="J222">
        <v>0</v>
      </c>
      <c r="K222">
        <v>0</v>
      </c>
      <c r="L222">
        <v>1692.42122356497</v>
      </c>
      <c r="M222">
        <v>-9.2563848770645472E-3</v>
      </c>
      <c r="N222">
        <v>0.99828927102013942</v>
      </c>
      <c r="O222">
        <v>811.60513635419022</v>
      </c>
      <c r="P222">
        <v>-8.1295272271288202E-3</v>
      </c>
      <c r="Q222">
        <v>0.99331314127050185</v>
      </c>
    </row>
    <row r="223" spans="1:17" x14ac:dyDescent="0.2">
      <c r="A223" t="s">
        <v>57</v>
      </c>
      <c r="B223" t="s">
        <v>32</v>
      </c>
      <c r="C223" t="s">
        <v>19</v>
      </c>
      <c r="D223" t="s">
        <v>34</v>
      </c>
      <c r="E223" t="s">
        <v>23</v>
      </c>
      <c r="F223">
        <v>-22.491477777777781</v>
      </c>
      <c r="G223">
        <v>0.98320977073985949</v>
      </c>
      <c r="H223">
        <v>-16.62961580277803</v>
      </c>
      <c r="I223">
        <v>0.87671408496375569</v>
      </c>
      <c r="J223">
        <v>-4.6923111111111098</v>
      </c>
      <c r="K223">
        <v>-6.5500044453796828</v>
      </c>
      <c r="L223">
        <v>1953.941906187925</v>
      </c>
      <c r="M223">
        <v>-1.297154516906706E-2</v>
      </c>
      <c r="N223">
        <v>0.98708463744893571</v>
      </c>
      <c r="O223">
        <v>1015.080097324698</v>
      </c>
      <c r="P223">
        <v>-1.99444685858205E-2</v>
      </c>
      <c r="Q223">
        <v>0.89444652203042152</v>
      </c>
    </row>
    <row r="224" spans="1:17" x14ac:dyDescent="0.2">
      <c r="A224" t="s">
        <v>57</v>
      </c>
      <c r="B224" t="s">
        <v>32</v>
      </c>
      <c r="C224" t="s">
        <v>19</v>
      </c>
      <c r="D224" t="s">
        <v>34</v>
      </c>
      <c r="E224" t="s">
        <v>24</v>
      </c>
      <c r="F224">
        <v>-13.82206</v>
      </c>
      <c r="G224">
        <v>0.99510497489957606</v>
      </c>
      <c r="H224">
        <v>-6.2852538175504202</v>
      </c>
      <c r="I224">
        <v>0.98253677179794252</v>
      </c>
      <c r="J224">
        <v>-0.33187368421052449</v>
      </c>
      <c r="K224">
        <v>-0.52235637945672853</v>
      </c>
      <c r="L224">
        <v>1676.191576292204</v>
      </c>
      <c r="M224">
        <v>-9.6453475893596759E-3</v>
      </c>
      <c r="N224">
        <v>0.99647712521290055</v>
      </c>
      <c r="O224">
        <v>812.44891616420432</v>
      </c>
      <c r="P224">
        <v>-8.9988805349513964E-3</v>
      </c>
      <c r="Q224">
        <v>0.98849434655151369</v>
      </c>
    </row>
    <row r="225" spans="1:17" x14ac:dyDescent="0.2">
      <c r="A225" t="s">
        <v>57</v>
      </c>
      <c r="B225" t="s">
        <v>32</v>
      </c>
      <c r="C225" t="s">
        <v>19</v>
      </c>
      <c r="D225" t="s">
        <v>34</v>
      </c>
      <c r="E225" t="s">
        <v>25</v>
      </c>
      <c r="F225">
        <v>-19.892811111111111</v>
      </c>
      <c r="G225">
        <v>0.97946012646071012</v>
      </c>
      <c r="H225">
        <v>-15.95676124983366</v>
      </c>
      <c r="I225">
        <v>0.85207130448865742</v>
      </c>
      <c r="J225">
        <v>-2.0936444444444402</v>
      </c>
      <c r="K225">
        <v>-5.8771498924353107</v>
      </c>
      <c r="L225">
        <v>1933.181353238358</v>
      </c>
      <c r="M225">
        <v>-1.1438852564736941E-2</v>
      </c>
      <c r="N225">
        <v>0.98320902803238042</v>
      </c>
      <c r="O225">
        <v>1012.335712499146</v>
      </c>
      <c r="P225">
        <v>-1.9057415593304369E-2</v>
      </c>
      <c r="Q225">
        <v>0.87001955326410518</v>
      </c>
    </row>
    <row r="226" spans="1:17" x14ac:dyDescent="0.2">
      <c r="A226" t="s">
        <v>57</v>
      </c>
      <c r="B226" t="s">
        <v>32</v>
      </c>
      <c r="C226" t="s">
        <v>19</v>
      </c>
      <c r="D226" t="s">
        <v>34</v>
      </c>
      <c r="E226" t="s">
        <v>26</v>
      </c>
      <c r="F226">
        <v>-13.13131578947368</v>
      </c>
      <c r="G226">
        <v>0.9945044310867458</v>
      </c>
      <c r="H226">
        <v>-6.0668960952274871</v>
      </c>
      <c r="I226">
        <v>0.97927891147894974</v>
      </c>
      <c r="J226">
        <v>0.35887052631579408</v>
      </c>
      <c r="K226">
        <v>-0.30399865713379542</v>
      </c>
      <c r="L226">
        <v>1646.4480377730449</v>
      </c>
      <c r="M226">
        <v>-9.2899229993345638E-3</v>
      </c>
      <c r="N226">
        <v>0.99732697032857653</v>
      </c>
      <c r="O226">
        <v>804.46393113751401</v>
      </c>
      <c r="P226">
        <v>-8.74356891959009E-3</v>
      </c>
      <c r="Q226">
        <v>0.98594836992178414</v>
      </c>
    </row>
    <row r="227" spans="1:17" x14ac:dyDescent="0.2">
      <c r="A227" t="s">
        <v>57</v>
      </c>
      <c r="B227" t="s">
        <v>32</v>
      </c>
      <c r="C227" t="s">
        <v>19</v>
      </c>
      <c r="D227" t="s">
        <v>34</v>
      </c>
      <c r="E227" t="s">
        <v>27</v>
      </c>
      <c r="F227">
        <v>-21.27888888888889</v>
      </c>
      <c r="G227">
        <v>0.98242835857741595</v>
      </c>
      <c r="H227">
        <v>-14.299260108286759</v>
      </c>
      <c r="I227">
        <v>0.92395124569375964</v>
      </c>
      <c r="J227">
        <v>-3.4797222222222151</v>
      </c>
      <c r="K227">
        <v>-4.2196487508884122</v>
      </c>
      <c r="L227">
        <v>1878.8330069492999</v>
      </c>
      <c r="M227">
        <v>-1.271334130865549E-2</v>
      </c>
      <c r="N227">
        <v>0.98471099085872849</v>
      </c>
      <c r="O227">
        <v>964.72767953007542</v>
      </c>
      <c r="P227">
        <v>-1.7582166491859411E-2</v>
      </c>
      <c r="Q227">
        <v>0.93766564107172434</v>
      </c>
    </row>
    <row r="228" spans="1:17" x14ac:dyDescent="0.2">
      <c r="A228" t="s">
        <v>57</v>
      </c>
      <c r="B228" t="s">
        <v>32</v>
      </c>
      <c r="C228" t="s">
        <v>19</v>
      </c>
      <c r="D228" t="s">
        <v>34</v>
      </c>
      <c r="E228" t="s">
        <v>28</v>
      </c>
      <c r="F228">
        <v>-13.16800421052632</v>
      </c>
      <c r="G228">
        <v>0.99615617121789524</v>
      </c>
      <c r="H228">
        <v>-5.8894806412394409</v>
      </c>
      <c r="I228">
        <v>0.99427079528078421</v>
      </c>
      <c r="J228">
        <v>0.32218210526315788</v>
      </c>
      <c r="K228">
        <v>-0.1265832031457492</v>
      </c>
      <c r="L228">
        <v>1631.625875607825</v>
      </c>
      <c r="M228">
        <v>-9.4009829560260192E-3</v>
      </c>
      <c r="N228">
        <v>0.99726764255530476</v>
      </c>
      <c r="O228">
        <v>797.20535260299198</v>
      </c>
      <c r="P228">
        <v>-8.5015214535696885E-3</v>
      </c>
      <c r="Q228">
        <v>0.99745153391775443</v>
      </c>
    </row>
    <row r="229" spans="1:17" x14ac:dyDescent="0.2">
      <c r="A229" t="s">
        <v>57</v>
      </c>
      <c r="B229" t="s">
        <v>32</v>
      </c>
      <c r="C229" t="s">
        <v>19</v>
      </c>
      <c r="D229" t="s">
        <v>34</v>
      </c>
      <c r="E229" t="s">
        <v>29</v>
      </c>
      <c r="F229">
        <v>-19.73352222222222</v>
      </c>
      <c r="G229">
        <v>0.96811102036591479</v>
      </c>
      <c r="H229">
        <v>-9.3994077820378887</v>
      </c>
      <c r="I229">
        <v>0.92748532974679432</v>
      </c>
      <c r="J229">
        <v>-1.9343555555555521</v>
      </c>
      <c r="K229">
        <v>0.6802035753604585</v>
      </c>
      <c r="L229">
        <v>1460.0135824125209</v>
      </c>
      <c r="M229">
        <v>-1.565264289010523E-2</v>
      </c>
      <c r="N229">
        <v>0.97554370875870633</v>
      </c>
      <c r="O229">
        <v>744.45682564144045</v>
      </c>
      <c r="P229">
        <v>-1.45349540443951E-2</v>
      </c>
      <c r="Q229">
        <v>0.93820822412884375</v>
      </c>
    </row>
    <row r="230" spans="1:17" x14ac:dyDescent="0.2">
      <c r="A230" t="s">
        <v>57</v>
      </c>
      <c r="B230" t="s">
        <v>32</v>
      </c>
      <c r="C230" t="s">
        <v>19</v>
      </c>
      <c r="D230" t="s">
        <v>34</v>
      </c>
      <c r="E230" t="s">
        <v>30</v>
      </c>
      <c r="F230">
        <v>-13.42778684210526</v>
      </c>
      <c r="G230">
        <v>0.9911778489919808</v>
      </c>
      <c r="H230">
        <v>-5.8054617650509837</v>
      </c>
      <c r="I230">
        <v>0.98873913768689203</v>
      </c>
      <c r="J230">
        <v>6.239947368421106E-2</v>
      </c>
      <c r="K230">
        <v>-4.2564326957291947E-2</v>
      </c>
      <c r="L230">
        <v>1618.9054872294651</v>
      </c>
      <c r="M230">
        <v>-9.7478151401957473E-3</v>
      </c>
      <c r="N230">
        <v>0.9956547361236302</v>
      </c>
      <c r="O230">
        <v>793.37389065568914</v>
      </c>
      <c r="P230">
        <v>-8.4279319707736347E-3</v>
      </c>
      <c r="Q230">
        <v>0.99390708774545644</v>
      </c>
    </row>
    <row r="231" spans="1:17" x14ac:dyDescent="0.2">
      <c r="A231" t="s">
        <v>58</v>
      </c>
      <c r="B231" t="s">
        <v>18</v>
      </c>
      <c r="C231" t="s">
        <v>33</v>
      </c>
      <c r="D231" t="s">
        <v>34</v>
      </c>
      <c r="E231" t="s">
        <v>21</v>
      </c>
      <c r="F231">
        <v>-2.291488888888888</v>
      </c>
      <c r="G231">
        <v>0.97743054472701807</v>
      </c>
      <c r="H231">
        <v>-11.368287063342059</v>
      </c>
      <c r="I231">
        <v>0.26367884519187418</v>
      </c>
      <c r="J231">
        <v>0</v>
      </c>
      <c r="K231">
        <v>0</v>
      </c>
      <c r="L231">
        <v>120.508442658742</v>
      </c>
      <c r="M231">
        <v>-2.3605483680031372E-2</v>
      </c>
      <c r="N231">
        <v>0.98515120833900682</v>
      </c>
      <c r="O231">
        <v>351.23263042797049</v>
      </c>
      <c r="P231">
        <v>-5.9321599360577459E-2</v>
      </c>
      <c r="Q231">
        <v>0.29227540603234892</v>
      </c>
    </row>
    <row r="232" spans="1:17" x14ac:dyDescent="0.2">
      <c r="A232" t="s">
        <v>58</v>
      </c>
      <c r="B232" t="s">
        <v>18</v>
      </c>
      <c r="C232" t="s">
        <v>33</v>
      </c>
      <c r="D232" t="s">
        <v>34</v>
      </c>
      <c r="E232" t="s">
        <v>22</v>
      </c>
      <c r="F232">
        <v>-1.184441052631579</v>
      </c>
      <c r="G232">
        <v>0.95042024707509076</v>
      </c>
      <c r="H232">
        <v>-3.1212600173412279</v>
      </c>
      <c r="I232">
        <v>6.3701313168660123E-2</v>
      </c>
      <c r="J232">
        <v>0</v>
      </c>
      <c r="K232">
        <v>0</v>
      </c>
      <c r="L232">
        <v>107.21182370433699</v>
      </c>
      <c r="M232">
        <v>-1.407012165833588E-2</v>
      </c>
      <c r="N232">
        <v>0.96695786913261084</v>
      </c>
      <c r="O232">
        <v>272.60888737799303</v>
      </c>
      <c r="P232">
        <v>-1.7956119035677749E-2</v>
      </c>
      <c r="Q232">
        <v>7.5201383338811101E-2</v>
      </c>
    </row>
    <row r="233" spans="1:17" x14ac:dyDescent="0.2">
      <c r="A233" t="s">
        <v>58</v>
      </c>
      <c r="B233" t="s">
        <v>18</v>
      </c>
      <c r="C233" t="s">
        <v>33</v>
      </c>
      <c r="D233" t="s">
        <v>34</v>
      </c>
      <c r="E233" t="s">
        <v>23</v>
      </c>
      <c r="F233">
        <v>-1.8070444444444429</v>
      </c>
      <c r="G233">
        <v>0.86127728643236501</v>
      </c>
      <c r="H233">
        <v>-9.4217116293783558</v>
      </c>
      <c r="I233">
        <v>0.14738697331798831</v>
      </c>
      <c r="J233">
        <v>0.48444444444444512</v>
      </c>
      <c r="K233">
        <v>1.9465754339637049</v>
      </c>
      <c r="L233">
        <v>83.834095767179832</v>
      </c>
      <c r="M233">
        <v>-2.8008787037492801E-2</v>
      </c>
      <c r="N233">
        <v>0.87452276748363222</v>
      </c>
      <c r="O233">
        <v>226.0051943849447</v>
      </c>
      <c r="P233">
        <v>-5.059658837080587E-2</v>
      </c>
      <c r="Q233">
        <v>0.1157617280341204</v>
      </c>
    </row>
    <row r="234" spans="1:17" x14ac:dyDescent="0.2">
      <c r="A234" t="s">
        <v>58</v>
      </c>
      <c r="B234" t="s">
        <v>18</v>
      </c>
      <c r="C234" t="s">
        <v>33</v>
      </c>
      <c r="D234" t="s">
        <v>34</v>
      </c>
      <c r="E234" t="s">
        <v>24</v>
      </c>
      <c r="F234">
        <v>-1.2572836842105271</v>
      </c>
      <c r="G234">
        <v>0.94804185721363043</v>
      </c>
      <c r="H234">
        <v>-3.033590129086531</v>
      </c>
      <c r="I234">
        <v>9.5465755371428762E-2</v>
      </c>
      <c r="J234">
        <v>-7.2842631578947437E-2</v>
      </c>
      <c r="K234">
        <v>8.7669888254697348E-2</v>
      </c>
      <c r="L234">
        <v>109.7772577439348</v>
      </c>
      <c r="M234">
        <v>-1.4787041459506401E-2</v>
      </c>
      <c r="N234">
        <v>0.96705093145991461</v>
      </c>
      <c r="O234">
        <v>264.59096941049751</v>
      </c>
      <c r="P234">
        <v>-1.660322799382917E-2</v>
      </c>
      <c r="Q234">
        <v>0.1063020194116058</v>
      </c>
    </row>
    <row r="235" spans="1:17" x14ac:dyDescent="0.2">
      <c r="A235" t="s">
        <v>58</v>
      </c>
      <c r="B235" t="s">
        <v>18</v>
      </c>
      <c r="C235" t="s">
        <v>33</v>
      </c>
      <c r="D235" t="s">
        <v>34</v>
      </c>
      <c r="E235" t="s">
        <v>25</v>
      </c>
      <c r="F235">
        <v>-2.0173777777777748</v>
      </c>
      <c r="G235">
        <v>0.95896366544467981</v>
      </c>
      <c r="H235">
        <v>-2.0360370272324579</v>
      </c>
      <c r="I235">
        <v>9.8436988980177276E-3</v>
      </c>
      <c r="J235">
        <v>0.27411111111111358</v>
      </c>
      <c r="K235">
        <v>9.3322500361096026</v>
      </c>
      <c r="L235">
        <v>81.429819243314981</v>
      </c>
      <c r="M235">
        <v>-3.3603547560647221E-2</v>
      </c>
      <c r="N235">
        <v>0.96893558038761884</v>
      </c>
      <c r="O235">
        <v>150.44380774024091</v>
      </c>
      <c r="P235">
        <v>-1.9391612220271422E-2</v>
      </c>
      <c r="Q235">
        <v>1.1942188129861919E-2</v>
      </c>
    </row>
    <row r="236" spans="1:17" x14ac:dyDescent="0.2">
      <c r="A236" t="s">
        <v>58</v>
      </c>
      <c r="B236" t="s">
        <v>18</v>
      </c>
      <c r="C236" t="s">
        <v>33</v>
      </c>
      <c r="D236" t="s">
        <v>34</v>
      </c>
      <c r="E236" t="s">
        <v>26</v>
      </c>
      <c r="F236">
        <v>-1.2668184210526301</v>
      </c>
      <c r="G236">
        <v>0.93772193585295616</v>
      </c>
      <c r="H236">
        <v>-5.5691169323155897E-2</v>
      </c>
      <c r="I236">
        <v>3.1636059677153661E-5</v>
      </c>
      <c r="J236">
        <v>-8.2377368421051145E-2</v>
      </c>
      <c r="K236">
        <v>3.0655688480180729</v>
      </c>
      <c r="L236">
        <v>104.35574510807361</v>
      </c>
      <c r="M236">
        <v>-1.5801135552948809E-2</v>
      </c>
      <c r="N236">
        <v>0.94937797041153327</v>
      </c>
      <c r="O236">
        <v>182.31945063960731</v>
      </c>
      <c r="P236">
        <v>-2.9945214409284998E-4</v>
      </c>
      <c r="Q236">
        <v>3.086082308356719E-5</v>
      </c>
    </row>
    <row r="237" spans="1:17" x14ac:dyDescent="0.2">
      <c r="A237" t="s">
        <v>58</v>
      </c>
      <c r="B237" t="s">
        <v>18</v>
      </c>
      <c r="C237" t="s">
        <v>33</v>
      </c>
      <c r="D237" t="s">
        <v>34</v>
      </c>
      <c r="E237" t="s">
        <v>27</v>
      </c>
      <c r="F237">
        <v>-1.8294777777777791</v>
      </c>
      <c r="G237">
        <v>0.93478774938081466</v>
      </c>
      <c r="H237">
        <v>10.56755716240141</v>
      </c>
      <c r="I237">
        <v>0.26644243651870492</v>
      </c>
      <c r="J237">
        <v>0.46201111111110921</v>
      </c>
      <c r="K237">
        <v>21.93584422574347</v>
      </c>
      <c r="L237">
        <v>81.300833527455936</v>
      </c>
      <c r="M237">
        <v>-2.991735566394842E-2</v>
      </c>
      <c r="N237">
        <v>0.95559611616451301</v>
      </c>
      <c r="O237">
        <v>128.2822242207582</v>
      </c>
      <c r="P237">
        <v>5.0792733583449351E-2</v>
      </c>
      <c r="Q237">
        <v>0.26353109201465058</v>
      </c>
    </row>
    <row r="238" spans="1:17" x14ac:dyDescent="0.2">
      <c r="A238" t="s">
        <v>58</v>
      </c>
      <c r="B238" t="s">
        <v>18</v>
      </c>
      <c r="C238" t="s">
        <v>33</v>
      </c>
      <c r="D238" t="s">
        <v>34</v>
      </c>
      <c r="E238" t="s">
        <v>28</v>
      </c>
      <c r="F238">
        <v>-1.307565789473685</v>
      </c>
      <c r="G238">
        <v>0.96146082681208422</v>
      </c>
      <c r="H238">
        <v>-2.4250306018875372</v>
      </c>
      <c r="I238">
        <v>6.4006671760422185E-2</v>
      </c>
      <c r="J238">
        <v>-0.1231247368421053</v>
      </c>
      <c r="K238">
        <v>0.69622941545369166</v>
      </c>
      <c r="L238">
        <v>106.32267487919459</v>
      </c>
      <c r="M238">
        <v>-1.6195244445860721E-2</v>
      </c>
      <c r="N238">
        <v>0.97884446847107254</v>
      </c>
      <c r="O238">
        <v>242.98822968466709</v>
      </c>
      <c r="P238">
        <v>-1.232595491414046E-2</v>
      </c>
      <c r="Q238">
        <v>6.5052536215573054E-2</v>
      </c>
    </row>
    <row r="239" spans="1:17" x14ac:dyDescent="0.2">
      <c r="A239" t="s">
        <v>58</v>
      </c>
      <c r="B239" t="s">
        <v>18</v>
      </c>
      <c r="C239" t="s">
        <v>33</v>
      </c>
      <c r="D239" t="s">
        <v>34</v>
      </c>
      <c r="E239" t="s">
        <v>29</v>
      </c>
      <c r="F239">
        <v>-1.9158555555555521</v>
      </c>
      <c r="G239">
        <v>0.91756174814871616</v>
      </c>
      <c r="H239">
        <v>-8.3332453360639409</v>
      </c>
      <c r="I239">
        <v>9.3487426927571837E-2</v>
      </c>
      <c r="J239">
        <v>0.37563333333333682</v>
      </c>
      <c r="K239">
        <v>3.03504172727812</v>
      </c>
      <c r="L239">
        <v>77.075830164305387</v>
      </c>
      <c r="M239">
        <v>-3.4311888790094322E-2</v>
      </c>
      <c r="N239">
        <v>0.93793056344025771</v>
      </c>
      <c r="O239">
        <v>259.255909760664</v>
      </c>
      <c r="P239">
        <v>-2.9709648781764329E-2</v>
      </c>
      <c r="Q239">
        <v>6.657680507710606E-2</v>
      </c>
    </row>
    <row r="240" spans="1:17" x14ac:dyDescent="0.2">
      <c r="A240" t="s">
        <v>58</v>
      </c>
      <c r="B240" t="s">
        <v>18</v>
      </c>
      <c r="C240" t="s">
        <v>33</v>
      </c>
      <c r="D240" t="s">
        <v>34</v>
      </c>
      <c r="E240" t="s">
        <v>30</v>
      </c>
      <c r="F240">
        <v>-1.163943684210526</v>
      </c>
      <c r="G240">
        <v>0.94176138967901457</v>
      </c>
      <c r="H240">
        <v>-3.8075772388336011</v>
      </c>
      <c r="I240">
        <v>0.1529715281944051</v>
      </c>
      <c r="J240">
        <v>2.049736842105299E-2</v>
      </c>
      <c r="K240">
        <v>-0.68631722149237273</v>
      </c>
      <c r="L240">
        <v>101.6761585378963</v>
      </c>
      <c r="M240">
        <v>-1.468657866021237E-2</v>
      </c>
      <c r="N240">
        <v>0.95610624947186384</v>
      </c>
      <c r="O240">
        <v>274.09888103941489</v>
      </c>
      <c r="P240">
        <v>-2.1362523664224621E-2</v>
      </c>
      <c r="Q240">
        <v>0.16864436554024259</v>
      </c>
    </row>
    <row r="241" spans="1:17" x14ac:dyDescent="0.2">
      <c r="A241" t="s">
        <v>59</v>
      </c>
      <c r="B241" t="s">
        <v>18</v>
      </c>
      <c r="C241" t="s">
        <v>33</v>
      </c>
      <c r="D241" t="s">
        <v>34</v>
      </c>
      <c r="E241" t="s">
        <v>21</v>
      </c>
      <c r="F241">
        <v>-2.6815333333333329</v>
      </c>
      <c r="G241">
        <v>0.99038186048750165</v>
      </c>
      <c r="H241">
        <v>-1.828645127534136</v>
      </c>
      <c r="I241">
        <v>1.263400789652191E-2</v>
      </c>
      <c r="J241">
        <v>0</v>
      </c>
      <c r="K241">
        <v>0</v>
      </c>
      <c r="L241">
        <v>130.00807837511661</v>
      </c>
      <c r="M241">
        <v>-2.6054532842724749E-2</v>
      </c>
      <c r="N241">
        <v>0.99441027248886638</v>
      </c>
      <c r="O241">
        <v>239.2144749019063</v>
      </c>
      <c r="P241">
        <v>-9.2259579901969608E-3</v>
      </c>
      <c r="Q241">
        <v>1.403898419756466E-2</v>
      </c>
    </row>
    <row r="242" spans="1:17" x14ac:dyDescent="0.2">
      <c r="A242" t="s">
        <v>59</v>
      </c>
      <c r="B242" t="s">
        <v>18</v>
      </c>
      <c r="C242" t="s">
        <v>33</v>
      </c>
      <c r="D242" t="s">
        <v>34</v>
      </c>
      <c r="E242" t="s">
        <v>22</v>
      </c>
      <c r="F242">
        <v>-1.3383189473684209</v>
      </c>
      <c r="G242">
        <v>0.96618354006533236</v>
      </c>
      <c r="H242">
        <v>-2.8277234331788001</v>
      </c>
      <c r="I242">
        <v>0.1063792532319279</v>
      </c>
      <c r="J242">
        <v>0</v>
      </c>
      <c r="K242">
        <v>0</v>
      </c>
      <c r="L242">
        <v>110.56825750928461</v>
      </c>
      <c r="M242">
        <v>-1.582657587694792E-2</v>
      </c>
      <c r="N242">
        <v>0.98230761456964666</v>
      </c>
      <c r="O242">
        <v>230.6161393473262</v>
      </c>
      <c r="P242">
        <v>-1.5827695558490111E-2</v>
      </c>
      <c r="Q242">
        <v>0.10674505196815511</v>
      </c>
    </row>
    <row r="243" spans="1:17" x14ac:dyDescent="0.2">
      <c r="A243" t="s">
        <v>59</v>
      </c>
      <c r="B243" t="s">
        <v>18</v>
      </c>
      <c r="C243" t="s">
        <v>33</v>
      </c>
      <c r="D243" t="s">
        <v>34</v>
      </c>
      <c r="E243" t="s">
        <v>23</v>
      </c>
      <c r="F243">
        <v>-1.870133333333337</v>
      </c>
      <c r="G243">
        <v>0.91189746815995298</v>
      </c>
      <c r="H243">
        <v>-4.8982674228089227</v>
      </c>
      <c r="I243">
        <v>8.9416406865865605E-2</v>
      </c>
      <c r="J243">
        <v>0.81139999999999568</v>
      </c>
      <c r="K243">
        <v>-3.0696222952747871</v>
      </c>
      <c r="L243">
        <v>87.247425930431007</v>
      </c>
      <c r="M243">
        <v>-2.803744096131796E-2</v>
      </c>
      <c r="N243">
        <v>0.93194787043332483</v>
      </c>
      <c r="O243">
        <v>205.04534233524049</v>
      </c>
      <c r="P243">
        <v>-3.2964622274531313E-2</v>
      </c>
      <c r="Q243">
        <v>9.1980720629989521E-2</v>
      </c>
    </row>
    <row r="244" spans="1:17" x14ac:dyDescent="0.2">
      <c r="A244" t="s">
        <v>59</v>
      </c>
      <c r="B244" t="s">
        <v>18</v>
      </c>
      <c r="C244" t="s">
        <v>33</v>
      </c>
      <c r="D244" t="s">
        <v>34</v>
      </c>
      <c r="E244" t="s">
        <v>24</v>
      </c>
      <c r="F244">
        <v>-1.241378947368422</v>
      </c>
      <c r="G244">
        <v>0.95367752116954008</v>
      </c>
      <c r="H244">
        <v>2.7084547296869048</v>
      </c>
      <c r="I244">
        <v>0.11334963688154689</v>
      </c>
      <c r="J244">
        <v>9.6939999999999138E-2</v>
      </c>
      <c r="K244">
        <v>5.5361781628657054</v>
      </c>
      <c r="L244">
        <v>108.82660655168399</v>
      </c>
      <c r="M244">
        <v>-1.4683070603378369E-2</v>
      </c>
      <c r="N244">
        <v>0.97139627424719432</v>
      </c>
      <c r="O244">
        <v>132.68221147214459</v>
      </c>
      <c r="P244">
        <v>1.545338128120001E-2</v>
      </c>
      <c r="Q244">
        <v>0.111351380726852</v>
      </c>
    </row>
    <row r="245" spans="1:17" x14ac:dyDescent="0.2">
      <c r="A245" t="s">
        <v>59</v>
      </c>
      <c r="B245" t="s">
        <v>18</v>
      </c>
      <c r="C245" t="s">
        <v>33</v>
      </c>
      <c r="D245" t="s">
        <v>34</v>
      </c>
      <c r="E245" t="s">
        <v>25</v>
      </c>
      <c r="F245">
        <v>-2.0156555555555551</v>
      </c>
      <c r="G245">
        <v>0.94972256073188888</v>
      </c>
      <c r="H245">
        <v>-9.0525906332302881</v>
      </c>
      <c r="I245">
        <v>0.24621962533115219</v>
      </c>
      <c r="J245">
        <v>0.66587777777777823</v>
      </c>
      <c r="K245">
        <v>-7.2239455056961521</v>
      </c>
      <c r="L245">
        <v>88.662214261595224</v>
      </c>
      <c r="M245">
        <v>-3.0114711809724359E-2</v>
      </c>
      <c r="N245">
        <v>0.96557347364862767</v>
      </c>
      <c r="O245">
        <v>255.45952441893581</v>
      </c>
      <c r="P245">
        <v>-8.4022429200031723E-2</v>
      </c>
      <c r="Q245">
        <v>0.28667537191155179</v>
      </c>
    </row>
    <row r="246" spans="1:17" x14ac:dyDescent="0.2">
      <c r="A246" t="s">
        <v>59</v>
      </c>
      <c r="B246" t="s">
        <v>18</v>
      </c>
      <c r="C246" t="s">
        <v>33</v>
      </c>
      <c r="D246" t="s">
        <v>34</v>
      </c>
      <c r="E246" t="s">
        <v>26</v>
      </c>
      <c r="F246">
        <v>-1.332673684210526</v>
      </c>
      <c r="G246">
        <v>0.9630340727718778</v>
      </c>
      <c r="H246">
        <v>-0.35909578013339682</v>
      </c>
      <c r="I246">
        <v>1.641349150194205E-3</v>
      </c>
      <c r="J246">
        <v>5.6452631578951529E-3</v>
      </c>
      <c r="K246">
        <v>2.4686276530454032</v>
      </c>
      <c r="L246">
        <v>108.8093654797578</v>
      </c>
      <c r="M246">
        <v>-1.6108982281986341E-2</v>
      </c>
      <c r="N246">
        <v>0.98058239203868958</v>
      </c>
      <c r="O246">
        <v>156.04315267760029</v>
      </c>
      <c r="P246">
        <v>-2.195679701208026E-3</v>
      </c>
      <c r="Q246">
        <v>1.5103648215595289E-3</v>
      </c>
    </row>
    <row r="247" spans="1:17" x14ac:dyDescent="0.2">
      <c r="A247" t="s">
        <v>59</v>
      </c>
      <c r="B247" t="s">
        <v>18</v>
      </c>
      <c r="C247" t="s">
        <v>33</v>
      </c>
      <c r="D247" t="s">
        <v>34</v>
      </c>
      <c r="E247" t="s">
        <v>27</v>
      </c>
      <c r="F247">
        <v>-1.8868444444444461</v>
      </c>
      <c r="G247">
        <v>0.95487954932871677</v>
      </c>
      <c r="H247">
        <v>0.46662178919381492</v>
      </c>
      <c r="I247">
        <v>1.10208165232395E-3</v>
      </c>
      <c r="J247">
        <v>0.79468888888888678</v>
      </c>
      <c r="K247">
        <v>2.2952669167279511</v>
      </c>
      <c r="L247">
        <v>84.89550688667326</v>
      </c>
      <c r="M247">
        <v>-2.9096632947240561E-2</v>
      </c>
      <c r="N247">
        <v>0.96793414912381182</v>
      </c>
      <c r="O247">
        <v>164.5402171308983</v>
      </c>
      <c r="P247">
        <v>2.615571152892176E-3</v>
      </c>
      <c r="Q247">
        <v>1.0404821088124681E-3</v>
      </c>
    </row>
    <row r="248" spans="1:17" x14ac:dyDescent="0.2">
      <c r="A248" t="s">
        <v>59</v>
      </c>
      <c r="B248" t="s">
        <v>18</v>
      </c>
      <c r="C248" t="s">
        <v>33</v>
      </c>
      <c r="D248" t="s">
        <v>34</v>
      </c>
      <c r="E248" t="s">
        <v>28</v>
      </c>
      <c r="F248">
        <v>-1.2731531578947379</v>
      </c>
      <c r="G248">
        <v>0.94440340064123562</v>
      </c>
      <c r="H248">
        <v>-9.0274372965870455</v>
      </c>
      <c r="I248">
        <v>0.38228065612719669</v>
      </c>
      <c r="J248">
        <v>6.5165789473683233E-2</v>
      </c>
      <c r="K248">
        <v>-6.1997138634082454</v>
      </c>
      <c r="L248">
        <v>104.52663110524389</v>
      </c>
      <c r="M248">
        <v>-1.609247423064343E-2</v>
      </c>
      <c r="N248">
        <v>0.96622141773311143</v>
      </c>
      <c r="O248">
        <v>372.99551436847321</v>
      </c>
      <c r="P248">
        <v>-5.3968203092199421E-2</v>
      </c>
      <c r="Q248">
        <v>0.38855079744836341</v>
      </c>
    </row>
    <row r="249" spans="1:17" x14ac:dyDescent="0.2">
      <c r="A249" t="s">
        <v>59</v>
      </c>
      <c r="B249" t="s">
        <v>18</v>
      </c>
      <c r="C249" t="s">
        <v>33</v>
      </c>
      <c r="D249" t="s">
        <v>34</v>
      </c>
      <c r="E249" t="s">
        <v>29</v>
      </c>
      <c r="F249">
        <v>-1.7384888888888901</v>
      </c>
      <c r="G249">
        <v>0.93951528568708387</v>
      </c>
      <c r="H249">
        <v>-0.75663393049005412</v>
      </c>
      <c r="I249">
        <v>2.5357532061905941E-3</v>
      </c>
      <c r="J249">
        <v>0.94304444444444324</v>
      </c>
      <c r="K249">
        <v>1.072011197044082</v>
      </c>
      <c r="L249">
        <v>77.400354600277495</v>
      </c>
      <c r="M249">
        <v>-2.9674799650382781E-2</v>
      </c>
      <c r="N249">
        <v>0.95627110030608242</v>
      </c>
      <c r="O249">
        <v>149.21049422272131</v>
      </c>
      <c r="P249">
        <v>-6.9188266887223217E-3</v>
      </c>
      <c r="Q249">
        <v>3.2513262318064622E-3</v>
      </c>
    </row>
    <row r="250" spans="1:17" x14ac:dyDescent="0.2">
      <c r="A250" t="s">
        <v>59</v>
      </c>
      <c r="B250" t="s">
        <v>18</v>
      </c>
      <c r="C250" t="s">
        <v>33</v>
      </c>
      <c r="D250" t="s">
        <v>34</v>
      </c>
      <c r="E250" t="s">
        <v>30</v>
      </c>
      <c r="F250">
        <v>-1.2229189473684201</v>
      </c>
      <c r="G250">
        <v>0.94570638966789466</v>
      </c>
      <c r="H250">
        <v>-3.1389480172169049</v>
      </c>
      <c r="I250">
        <v>0.12905238185567511</v>
      </c>
      <c r="J250">
        <v>0.1154000000000011</v>
      </c>
      <c r="K250">
        <v>-0.31122458403810521</v>
      </c>
      <c r="L250">
        <v>106.01657339684451</v>
      </c>
      <c r="M250">
        <v>-1.492997801469265E-2</v>
      </c>
      <c r="N250">
        <v>0.96490089368100673</v>
      </c>
      <c r="O250">
        <v>194.60775799963091</v>
      </c>
      <c r="P250">
        <v>-2.0534536397429519E-2</v>
      </c>
      <c r="Q250">
        <v>0.1194271570016303</v>
      </c>
    </row>
    <row r="251" spans="1:17" x14ac:dyDescent="0.2">
      <c r="A251" t="s">
        <v>60</v>
      </c>
      <c r="B251" t="s">
        <v>18</v>
      </c>
      <c r="C251" t="s">
        <v>19</v>
      </c>
      <c r="D251" t="s">
        <v>20</v>
      </c>
      <c r="E251" t="s">
        <v>21</v>
      </c>
      <c r="F251">
        <v>-18.687522222222221</v>
      </c>
      <c r="G251">
        <v>0.98462113009952801</v>
      </c>
      <c r="H251">
        <v>-327.70033550338547</v>
      </c>
      <c r="I251">
        <v>0.1453546671656806</v>
      </c>
      <c r="J251">
        <v>0</v>
      </c>
      <c r="K251">
        <v>0</v>
      </c>
      <c r="L251">
        <v>1865.279846458345</v>
      </c>
      <c r="M251">
        <v>-1.1106518926940629E-2</v>
      </c>
      <c r="N251">
        <v>0.98859532858966592</v>
      </c>
      <c r="O251">
        <v>9360.0989226913498</v>
      </c>
      <c r="P251">
        <v>-5.6049060575571352E-2</v>
      </c>
      <c r="Q251">
        <v>0.14403753507819639</v>
      </c>
    </row>
    <row r="252" spans="1:17" x14ac:dyDescent="0.2">
      <c r="A252" t="s">
        <v>60</v>
      </c>
      <c r="B252" t="s">
        <v>18</v>
      </c>
      <c r="C252" t="s">
        <v>19</v>
      </c>
      <c r="D252" t="s">
        <v>20</v>
      </c>
      <c r="E252" t="s">
        <v>22</v>
      </c>
      <c r="F252">
        <v>-13.805529999999999</v>
      </c>
      <c r="G252">
        <v>0.98766509373495159</v>
      </c>
      <c r="H252">
        <v>-214.89198332793379</v>
      </c>
      <c r="I252">
        <v>0.45933339552686708</v>
      </c>
      <c r="J252">
        <v>0</v>
      </c>
      <c r="K252">
        <v>0</v>
      </c>
      <c r="L252">
        <v>1742.9503693662971</v>
      </c>
      <c r="M252">
        <v>-9.2474517158617625E-3</v>
      </c>
      <c r="N252">
        <v>0.99341941934612532</v>
      </c>
      <c r="O252">
        <v>9768.7848463492755</v>
      </c>
      <c r="P252">
        <v>-5.8097835233927093E-2</v>
      </c>
      <c r="Q252">
        <v>0.52454211565476117</v>
      </c>
    </row>
    <row r="253" spans="1:17" x14ac:dyDescent="0.2">
      <c r="A253" t="s">
        <v>60</v>
      </c>
      <c r="B253" t="s">
        <v>18</v>
      </c>
      <c r="C253" t="s">
        <v>19</v>
      </c>
      <c r="D253" t="s">
        <v>20</v>
      </c>
      <c r="E253" t="s">
        <v>23</v>
      </c>
      <c r="F253">
        <v>-24.076711111111109</v>
      </c>
      <c r="G253">
        <v>0.97343155564517825</v>
      </c>
      <c r="H253">
        <v>73.703800707215521</v>
      </c>
      <c r="I253">
        <v>8.9119218050488502E-3</v>
      </c>
      <c r="J253">
        <v>-5.3891888888888957</v>
      </c>
      <c r="K253">
        <v>401.404136210601</v>
      </c>
      <c r="L253">
        <v>1935.264657931267</v>
      </c>
      <c r="M253">
        <v>-1.4211404881599341E-2</v>
      </c>
      <c r="N253">
        <v>0.97987987040028524</v>
      </c>
      <c r="O253">
        <v>4035.8551148174329</v>
      </c>
      <c r="P253">
        <v>1.6530413335233501E-2</v>
      </c>
      <c r="Q253">
        <v>9.3532067148611731E-3</v>
      </c>
    </row>
    <row r="254" spans="1:17" x14ac:dyDescent="0.2">
      <c r="A254" t="s">
        <v>60</v>
      </c>
      <c r="B254" t="s">
        <v>18</v>
      </c>
      <c r="C254" t="s">
        <v>19</v>
      </c>
      <c r="D254" t="s">
        <v>20</v>
      </c>
      <c r="E254" t="s">
        <v>24</v>
      </c>
      <c r="F254">
        <v>-10.65806684210526</v>
      </c>
      <c r="G254">
        <v>0.98230941391927273</v>
      </c>
      <c r="H254">
        <v>-176.96215318932099</v>
      </c>
      <c r="I254">
        <v>0.35063129640210577</v>
      </c>
      <c r="J254">
        <v>3.1474631578947361</v>
      </c>
      <c r="K254">
        <v>37.929830138612829</v>
      </c>
      <c r="L254">
        <v>1720.381095136119</v>
      </c>
      <c r="M254">
        <v>-6.9542332920224251E-3</v>
      </c>
      <c r="N254">
        <v>0.98518432441381787</v>
      </c>
      <c r="O254">
        <v>8791.4375796537861</v>
      </c>
      <c r="P254">
        <v>-5.8110452757899902E-2</v>
      </c>
      <c r="Q254">
        <v>0.43314113812599769</v>
      </c>
    </row>
    <row r="255" spans="1:17" x14ac:dyDescent="0.2">
      <c r="A255" t="s">
        <v>60</v>
      </c>
      <c r="B255" t="s">
        <v>18</v>
      </c>
      <c r="C255" t="s">
        <v>19</v>
      </c>
      <c r="D255" t="s">
        <v>20</v>
      </c>
      <c r="E255" t="s">
        <v>25</v>
      </c>
      <c r="F255">
        <v>-22.27311111111112</v>
      </c>
      <c r="G255">
        <v>0.97707434438209584</v>
      </c>
      <c r="H255">
        <v>-22.741570400770261</v>
      </c>
      <c r="I255">
        <v>8.5486625104380654E-4</v>
      </c>
      <c r="J255">
        <v>-3.5855888888889029</v>
      </c>
      <c r="K255">
        <v>304.95876510261519</v>
      </c>
      <c r="L255">
        <v>1904.232677939618</v>
      </c>
      <c r="M255">
        <v>-1.322723961749139E-2</v>
      </c>
      <c r="N255">
        <v>0.98216733754469332</v>
      </c>
      <c r="O255">
        <v>5824.8877662785426</v>
      </c>
      <c r="P255">
        <v>-3.3692684635776809E-3</v>
      </c>
      <c r="Q255">
        <v>7.1634837173584209E-4</v>
      </c>
    </row>
    <row r="256" spans="1:17" x14ac:dyDescent="0.2">
      <c r="A256" t="s">
        <v>60</v>
      </c>
      <c r="B256" t="s">
        <v>18</v>
      </c>
      <c r="C256" t="s">
        <v>19</v>
      </c>
      <c r="D256" t="s">
        <v>20</v>
      </c>
      <c r="E256" t="s">
        <v>26</v>
      </c>
      <c r="F256">
        <v>-12.45125</v>
      </c>
      <c r="G256">
        <v>0.98729020151949121</v>
      </c>
      <c r="H256">
        <v>-260.40348088226881</v>
      </c>
      <c r="I256">
        <v>0.37150644143693468</v>
      </c>
      <c r="J256">
        <v>1.354279999999997</v>
      </c>
      <c r="K256">
        <v>-45.511497554334937</v>
      </c>
      <c r="L256">
        <v>1753.1867459330981</v>
      </c>
      <c r="M256">
        <v>-8.1347932917733724E-3</v>
      </c>
      <c r="N256">
        <v>0.99157139777433911</v>
      </c>
      <c r="O256">
        <v>10902.01607236137</v>
      </c>
      <c r="P256">
        <v>-4.8940862692490143E-2</v>
      </c>
      <c r="Q256">
        <v>0.37152699761002939</v>
      </c>
    </row>
    <row r="257" spans="1:17" x14ac:dyDescent="0.2">
      <c r="A257" t="s">
        <v>60</v>
      </c>
      <c r="B257" t="s">
        <v>18</v>
      </c>
      <c r="C257" t="s">
        <v>19</v>
      </c>
      <c r="D257" t="s">
        <v>20</v>
      </c>
      <c r="E257" t="s">
        <v>27</v>
      </c>
      <c r="F257">
        <v>-19.521899999999999</v>
      </c>
      <c r="G257">
        <v>0.98010709099447835</v>
      </c>
      <c r="H257">
        <v>185.0651953695025</v>
      </c>
      <c r="I257">
        <v>2.4900899907107529E-2</v>
      </c>
      <c r="J257">
        <v>-0.83437777777778521</v>
      </c>
      <c r="K257">
        <v>512.76553087288789</v>
      </c>
      <c r="L257">
        <v>1793.957575294929</v>
      </c>
      <c r="M257">
        <v>-1.2194222699350939E-2</v>
      </c>
      <c r="N257">
        <v>0.98519660686442978</v>
      </c>
      <c r="O257">
        <v>4454.8242361199218</v>
      </c>
      <c r="P257">
        <v>2.177348741302107E-2</v>
      </c>
      <c r="Q257">
        <v>1.5952759450684969E-2</v>
      </c>
    </row>
    <row r="258" spans="1:17" x14ac:dyDescent="0.2">
      <c r="A258" t="s">
        <v>60</v>
      </c>
      <c r="B258" t="s">
        <v>18</v>
      </c>
      <c r="C258" t="s">
        <v>19</v>
      </c>
      <c r="D258" t="s">
        <v>20</v>
      </c>
      <c r="E258" t="s">
        <v>28</v>
      </c>
      <c r="F258">
        <v>-12.021833684210529</v>
      </c>
      <c r="G258">
        <v>0.98649791120544095</v>
      </c>
      <c r="H258">
        <v>80.441076055815273</v>
      </c>
      <c r="I258">
        <v>2.1641184115933191E-2</v>
      </c>
      <c r="J258">
        <v>1.7836963157894681</v>
      </c>
      <c r="K258">
        <v>295.33305938374912</v>
      </c>
      <c r="L258">
        <v>1748.611997625726</v>
      </c>
      <c r="M258">
        <v>-7.8379145313219045E-3</v>
      </c>
      <c r="N258">
        <v>0.99080280047804747</v>
      </c>
      <c r="O258">
        <v>5959.3977315477923</v>
      </c>
      <c r="P258">
        <v>1.0996927806965319E-2</v>
      </c>
      <c r="Q258">
        <v>2.1134324089515211E-2</v>
      </c>
    </row>
    <row r="259" spans="1:17" x14ac:dyDescent="0.2">
      <c r="A259" t="s">
        <v>60</v>
      </c>
      <c r="B259" t="s">
        <v>18</v>
      </c>
      <c r="C259" t="s">
        <v>19</v>
      </c>
      <c r="D259" t="s">
        <v>20</v>
      </c>
      <c r="E259" t="s">
        <v>29</v>
      </c>
      <c r="F259">
        <v>-16.66102222222224</v>
      </c>
      <c r="G259">
        <v>0.96575712727751373</v>
      </c>
      <c r="H259">
        <v>167.51941061602651</v>
      </c>
      <c r="I259">
        <v>7.4053264898739424E-2</v>
      </c>
      <c r="J259">
        <v>2.0264999999999809</v>
      </c>
      <c r="K259">
        <v>495.21974611941198</v>
      </c>
      <c r="L259">
        <v>1330.8931692434969</v>
      </c>
      <c r="M259">
        <v>-1.4321810974467089E-2</v>
      </c>
      <c r="N259">
        <v>0.9726740692221727</v>
      </c>
      <c r="O259">
        <v>5534.1311735647714</v>
      </c>
      <c r="P259">
        <v>2.50984008550235E-2</v>
      </c>
      <c r="Q259">
        <v>7.7433444122035566E-2</v>
      </c>
    </row>
    <row r="260" spans="1:17" x14ac:dyDescent="0.2">
      <c r="A260" t="s">
        <v>60</v>
      </c>
      <c r="B260" t="s">
        <v>18</v>
      </c>
      <c r="C260" t="s">
        <v>19</v>
      </c>
      <c r="D260" t="s">
        <v>20</v>
      </c>
      <c r="E260" t="s">
        <v>30</v>
      </c>
      <c r="F260">
        <v>-11.464549999999999</v>
      </c>
      <c r="G260">
        <v>0.97833896529396602</v>
      </c>
      <c r="H260">
        <v>18.504814786591751</v>
      </c>
      <c r="I260">
        <v>3.472941873538304E-3</v>
      </c>
      <c r="J260">
        <v>2.3409800000000001</v>
      </c>
      <c r="K260">
        <v>233.39679811452561</v>
      </c>
      <c r="L260">
        <v>1724.6227045661381</v>
      </c>
      <c r="M260">
        <v>-7.5551709883188772E-3</v>
      </c>
      <c r="N260">
        <v>0.98398110499011038</v>
      </c>
      <c r="O260">
        <v>6320.5554537607613</v>
      </c>
      <c r="P260">
        <v>2.5623960274202069E-3</v>
      </c>
      <c r="Q260">
        <v>3.172689824297525E-3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Bharadwaj, Deepta</cp:lastModifiedBy>
  <dcterms:created xsi:type="dcterms:W3CDTF">2025-08-22T18:43:24Z</dcterms:created>
  <dcterms:modified xsi:type="dcterms:W3CDTF">2025-08-24T04:41:14Z</dcterms:modified>
</cp:coreProperties>
</file>